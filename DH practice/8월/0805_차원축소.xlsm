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주성분분석" sheetId="1" r:id="rId4"/>
    <sheet state="visible" name="고유값고유벡터" sheetId="2" r:id="rId5"/>
  </sheets>
  <definedNames/>
  <calcPr/>
  <extLst>
    <ext uri="GoogleSheetsCustomDataVersion1">
      <go:sheetsCustomData xmlns:go="http://customooxmlschemas.google.com/" r:id="rId6" roundtripDataSignature="AMtx7miEWrT29dpqwbhZ8I5hL1NitBV4fQ=="/>
    </ext>
  </extLst>
</workbook>
</file>

<file path=xl/sharedStrings.xml><?xml version="1.0" encoding="utf-8"?>
<sst xmlns="http://schemas.openxmlformats.org/spreadsheetml/2006/main" count="318" uniqueCount="64">
  <si>
    <t>가게 면적</t>
  </si>
  <si>
    <t>선수</t>
  </si>
  <si>
    <t>지하철역과의 거리</t>
  </si>
  <si>
    <t>기온</t>
  </si>
  <si>
    <t>안타</t>
  </si>
  <si>
    <t>2루타</t>
  </si>
  <si>
    <t>3루타</t>
  </si>
  <si>
    <t>홈런</t>
  </si>
  <si>
    <t>타점</t>
  </si>
  <si>
    <t>득점</t>
  </si>
  <si>
    <t>도루</t>
  </si>
  <si>
    <t>사사구</t>
  </si>
  <si>
    <t>삼진</t>
  </si>
  <si>
    <t>타율</t>
  </si>
  <si>
    <t>출루율</t>
  </si>
  <si>
    <t>장타율</t>
  </si>
  <si>
    <t>OPS</t>
  </si>
  <si>
    <t>김선빈</t>
  </si>
  <si>
    <t>박건우</t>
  </si>
  <si>
    <t>PC1</t>
  </si>
  <si>
    <t>PC2</t>
  </si>
  <si>
    <t>PC3</t>
  </si>
  <si>
    <t>고유값</t>
  </si>
  <si>
    <t>고유벡터</t>
  </si>
  <si>
    <t>박민우</t>
  </si>
  <si>
    <t>나성범</t>
  </si>
  <si>
    <t>박용택</t>
  </si>
  <si>
    <t>최형우</t>
  </si>
  <si>
    <t>김재환</t>
  </si>
  <si>
    <t>로사리오</t>
  </si>
  <si>
    <t>손아섭</t>
  </si>
  <si>
    <t>서건창</t>
  </si>
  <si>
    <t>이명기</t>
  </si>
  <si>
    <t>송광민</t>
  </si>
  <si>
    <t>이정후</t>
  </si>
  <si>
    <t>전준우</t>
  </si>
  <si>
    <t>이대호</t>
  </si>
  <si>
    <t>버나디나</t>
  </si>
  <si>
    <t>최정</t>
  </si>
  <si>
    <t>안치홍</t>
  </si>
  <si>
    <t>러프</t>
  </si>
  <si>
    <t>윤석민</t>
  </si>
  <si>
    <t>평균</t>
  </si>
  <si>
    <t>표준편차</t>
  </si>
  <si>
    <t>표준화 데이터</t>
  </si>
  <si>
    <t>PC4</t>
  </si>
  <si>
    <t>PC5</t>
  </si>
  <si>
    <t>PC6</t>
  </si>
  <si>
    <t>PC7</t>
  </si>
  <si>
    <t>PC8</t>
  </si>
  <si>
    <t>PC9</t>
  </si>
  <si>
    <t>PC10</t>
  </si>
  <si>
    <t>PC11</t>
  </si>
  <si>
    <t>PC12</t>
  </si>
  <si>
    <t>PC13</t>
  </si>
  <si>
    <t>합계</t>
  </si>
  <si>
    <t>기여율</t>
  </si>
  <si>
    <t>누적기여율</t>
  </si>
  <si>
    <t>상관행렬</t>
  </si>
  <si>
    <t>주성분 점수</t>
  </si>
  <si>
    <t>분산</t>
  </si>
  <si>
    <t>원래 데이터와 주성분의 상관행렬</t>
  </si>
  <si>
    <t>표준화 데이터 전치행렬</t>
  </si>
  <si>
    <t xml:space="preserve"> 행렬로 계산한 상관행렬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</si>
</sst>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_ "/>
  </numFmts>
  <fonts count="3">
    <font>
      <sz val="11.0"/>
      <color rgb="FF000000"/>
      <name val="Malgun Gothic"/>
    </font>
    <font>
      <sz val="11.0"/>
      <name val="Malgun Gothic"/>
    </font>
    <font/>
  </fonts>
  <fills count="5">
    <fill>
      <patternFill patternType="none"/>
    </fill>
    <fill>
      <patternFill patternType="lightGray"/>
    </fill>
    <fill>
      <patternFill patternType="solid">
        <fgColor rgb="FFFFC000"/>
        <bgColor rgb="FFFFC000"/>
      </patternFill>
    </fill>
    <fill>
      <patternFill patternType="solid">
        <fgColor rgb="FFC4BD97"/>
        <bgColor rgb="FFC4BD97"/>
      </patternFill>
    </fill>
    <fill>
      <patternFill patternType="solid">
        <fgColor rgb="FFD8D8D8"/>
        <bgColor rgb="FFD8D8D8"/>
      </patternFill>
    </fill>
  </fills>
  <borders count="5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center" wrapText="0"/>
    </xf>
    <xf borderId="0" fillId="0" fontId="0" numFmtId="164" xfId="0" applyAlignment="1" applyFont="1" applyNumberFormat="1">
      <alignment vertical="center"/>
    </xf>
    <xf borderId="0" fillId="0" fontId="1" numFmtId="164" xfId="0" applyAlignment="1" applyFont="1" applyNumberFormat="1">
      <alignment horizontal="center" vertical="center"/>
    </xf>
    <xf borderId="1" fillId="2" fontId="0" numFmtId="164" xfId="0" applyAlignment="1" applyBorder="1" applyFill="1" applyFont="1" applyNumberFormat="1">
      <alignment horizontal="center" vertical="center"/>
    </xf>
    <xf borderId="2" fillId="0" fontId="2" numFmtId="0" xfId="0" applyAlignment="1" applyBorder="1" applyFont="1">
      <alignment vertical="center"/>
    </xf>
    <xf borderId="3" fillId="0" fontId="2" numFmtId="0" xfId="0" applyAlignment="1" applyBorder="1" applyFont="1">
      <alignment vertical="center"/>
    </xf>
    <xf borderId="4" fillId="3" fontId="0" numFmtId="164" xfId="0" applyAlignment="1" applyBorder="1" applyFill="1" applyFont="1" applyNumberFormat="1">
      <alignment vertical="center"/>
    </xf>
    <xf borderId="4" fillId="4" fontId="0" numFmtId="164" xfId="0" applyAlignment="1" applyBorder="1" applyFill="1" applyFont="1" applyNumberFormat="1">
      <alignment vertical="center"/>
    </xf>
  </cellXfs>
  <cellStyles count="1">
    <cellStyle xfId="0" name="Normal" builtinId="0"/>
  </cellStyles>
  <dxfs count="3">
    <dxf>
      <font/>
      <fill>
        <patternFill patternType="solid">
          <fgColor rgb="FFE5B8B7"/>
          <bgColor rgb="FFE5B8B7"/>
        </patternFill>
      </fill>
      <border/>
    </dxf>
    <dxf>
      <font/>
      <fill>
        <patternFill patternType="solid">
          <fgColor rgb="FF8DB3E2"/>
          <bgColor rgb="FF8DB3E2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sharedStrings" Target="sharedStrings.xml"/><Relationship Id="rId3" Type="http://schemas.microsoft.com/office/2006/relationships/vbaProject" Target="vbaProject.bin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63"/>
    <col customWidth="1" min="2" max="2" width="7.63"/>
    <col customWidth="1" min="3" max="3" width="6.75"/>
    <col customWidth="1" min="4" max="4" width="6.25"/>
    <col customWidth="1" min="5" max="5" width="6.75"/>
    <col customWidth="1" min="6" max="7" width="7.63"/>
    <col customWidth="1" min="8" max="8" width="6.75"/>
    <col customWidth="1" min="9" max="10" width="7.63"/>
    <col customWidth="1" min="11" max="11" width="6.25"/>
    <col customWidth="1" min="12" max="13" width="6.75"/>
    <col customWidth="1" min="14" max="14" width="7.13"/>
    <col customWidth="1" min="15" max="15" width="6.75"/>
    <col customWidth="1" min="16" max="16" width="10.38"/>
    <col customWidth="1" min="17" max="17" width="7.13"/>
    <col customWidth="1" min="18" max="25" width="6.25"/>
    <col customWidth="1" min="26" max="29" width="7.38"/>
    <col customWidth="1" min="30" max="34" width="6.75"/>
  </cols>
  <sheetData>
    <row r="1" ht="16.5" customHeight="1">
      <c r="A1" s="1" t="s">
        <v>1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ht="16.5" customHeight="1">
      <c r="A2" s="1" t="s">
        <v>17</v>
      </c>
      <c r="B2" s="1">
        <v>176.0</v>
      </c>
      <c r="C2" s="1">
        <v>34.0</v>
      </c>
      <c r="D2" s="1">
        <v>1.0</v>
      </c>
      <c r="E2" s="1">
        <v>5.0</v>
      </c>
      <c r="F2" s="1">
        <v>64.0</v>
      </c>
      <c r="G2" s="1">
        <v>84.0</v>
      </c>
      <c r="H2" s="1">
        <v>4.0</v>
      </c>
      <c r="I2" s="1">
        <v>44.0</v>
      </c>
      <c r="J2" s="1">
        <v>40.0</v>
      </c>
      <c r="K2" s="1">
        <v>0.37</v>
      </c>
      <c r="L2" s="1">
        <v>0.42</v>
      </c>
      <c r="M2" s="1">
        <v>0.477</v>
      </c>
      <c r="N2" s="1">
        <v>0.897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ht="16.5" customHeight="1">
      <c r="A3" s="1" t="s">
        <v>18</v>
      </c>
      <c r="B3" s="1">
        <v>177.0</v>
      </c>
      <c r="C3" s="1">
        <v>40.0</v>
      </c>
      <c r="D3" s="1">
        <v>2.0</v>
      </c>
      <c r="E3" s="1">
        <v>20.0</v>
      </c>
      <c r="F3" s="1">
        <v>78.0</v>
      </c>
      <c r="G3" s="1">
        <v>91.0</v>
      </c>
      <c r="H3" s="1">
        <v>20.0</v>
      </c>
      <c r="I3" s="1">
        <v>51.0</v>
      </c>
      <c r="J3" s="1">
        <v>64.0</v>
      </c>
      <c r="K3" s="1">
        <v>0.366</v>
      </c>
      <c r="L3" s="1">
        <v>0.424</v>
      </c>
      <c r="M3" s="1">
        <v>0.582</v>
      </c>
      <c r="N3" s="1">
        <v>1.006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ht="16.5" customHeight="1">
      <c r="A4" s="1" t="s">
        <v>24</v>
      </c>
      <c r="B4" s="1">
        <v>141.0</v>
      </c>
      <c r="C4" s="1">
        <v>25.0</v>
      </c>
      <c r="D4" s="1">
        <v>4.0</v>
      </c>
      <c r="E4" s="1">
        <v>3.0</v>
      </c>
      <c r="F4" s="1">
        <v>47.0</v>
      </c>
      <c r="G4" s="1">
        <v>84.0</v>
      </c>
      <c r="H4" s="1">
        <v>11.0</v>
      </c>
      <c r="I4" s="1">
        <v>57.0</v>
      </c>
      <c r="J4" s="1">
        <v>51.0</v>
      </c>
      <c r="K4" s="1">
        <v>0.363</v>
      </c>
      <c r="L4" s="1">
        <v>0.441</v>
      </c>
      <c r="M4" s="1">
        <v>0.472</v>
      </c>
      <c r="N4" s="1">
        <v>0.913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ht="16.5" customHeight="1">
      <c r="A5" s="1" t="s">
        <v>25</v>
      </c>
      <c r="B5" s="1">
        <v>173.0</v>
      </c>
      <c r="C5" s="1">
        <v>42.0</v>
      </c>
      <c r="D5" s="1">
        <v>2.0</v>
      </c>
      <c r="E5" s="1">
        <v>24.0</v>
      </c>
      <c r="F5" s="1">
        <v>99.0</v>
      </c>
      <c r="G5" s="1">
        <v>103.0</v>
      </c>
      <c r="H5" s="1">
        <v>17.0</v>
      </c>
      <c r="I5" s="1">
        <v>60.0</v>
      </c>
      <c r="J5" s="1">
        <v>116.0</v>
      </c>
      <c r="K5" s="1">
        <v>0.347</v>
      </c>
      <c r="L5" s="1">
        <v>0.415</v>
      </c>
      <c r="M5" s="1">
        <v>0.584</v>
      </c>
      <c r="N5" s="1">
        <v>1.0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ht="16.5" customHeight="1">
      <c r="A6" s="1" t="s">
        <v>26</v>
      </c>
      <c r="B6" s="1">
        <v>175.0</v>
      </c>
      <c r="C6" s="1">
        <v>23.0</v>
      </c>
      <c r="D6" s="1">
        <v>2.0</v>
      </c>
      <c r="E6" s="1">
        <v>14.0</v>
      </c>
      <c r="F6" s="1">
        <v>90.0</v>
      </c>
      <c r="G6" s="1">
        <v>83.0</v>
      </c>
      <c r="H6" s="1">
        <v>4.0</v>
      </c>
      <c r="I6" s="1">
        <v>78.0</v>
      </c>
      <c r="J6" s="1">
        <v>88.0</v>
      </c>
      <c r="K6" s="1">
        <v>0.344</v>
      </c>
      <c r="L6" s="1">
        <v>0.425</v>
      </c>
      <c r="M6" s="1">
        <v>0.479</v>
      </c>
      <c r="N6" s="1">
        <v>0.904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ht="16.5" customHeight="1">
      <c r="A7" s="1" t="s">
        <v>27</v>
      </c>
      <c r="B7" s="1">
        <v>176.0</v>
      </c>
      <c r="C7" s="1">
        <v>36.0</v>
      </c>
      <c r="D7" s="1">
        <v>3.0</v>
      </c>
      <c r="E7" s="1">
        <v>26.0</v>
      </c>
      <c r="F7" s="1">
        <v>120.0</v>
      </c>
      <c r="G7" s="1">
        <v>98.0</v>
      </c>
      <c r="H7" s="1">
        <v>0.0</v>
      </c>
      <c r="I7" s="1">
        <v>107.0</v>
      </c>
      <c r="J7" s="1">
        <v>82.0</v>
      </c>
      <c r="K7" s="1">
        <v>0.342</v>
      </c>
      <c r="L7" s="1">
        <v>0.45</v>
      </c>
      <c r="M7" s="1">
        <v>0.576</v>
      </c>
      <c r="N7" s="1">
        <v>1.026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ht="16.5" customHeight="1">
      <c r="A8" s="1" t="s">
        <v>28</v>
      </c>
      <c r="B8" s="1">
        <v>185.0</v>
      </c>
      <c r="C8" s="1">
        <v>34.0</v>
      </c>
      <c r="D8" s="1">
        <v>2.0</v>
      </c>
      <c r="E8" s="1">
        <v>35.0</v>
      </c>
      <c r="F8" s="1">
        <v>115.0</v>
      </c>
      <c r="G8" s="1">
        <v>110.0</v>
      </c>
      <c r="H8" s="1">
        <v>4.0</v>
      </c>
      <c r="I8" s="1">
        <v>88.0</v>
      </c>
      <c r="J8" s="1">
        <v>123.0</v>
      </c>
      <c r="K8" s="1">
        <v>0.34</v>
      </c>
      <c r="L8" s="1">
        <v>0.429</v>
      </c>
      <c r="M8" s="1">
        <v>0.603</v>
      </c>
      <c r="N8" s="1">
        <v>1.032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ht="16.5" customHeight="1">
      <c r="A9" s="1" t="s">
        <v>29</v>
      </c>
      <c r="B9" s="1">
        <v>151.0</v>
      </c>
      <c r="C9" s="1">
        <v>30.0</v>
      </c>
      <c r="D9" s="1">
        <v>1.0</v>
      </c>
      <c r="E9" s="1">
        <v>37.0</v>
      </c>
      <c r="F9" s="1">
        <v>111.0</v>
      </c>
      <c r="G9" s="1">
        <v>100.0</v>
      </c>
      <c r="H9" s="1">
        <v>10.0</v>
      </c>
      <c r="I9" s="1">
        <v>60.0</v>
      </c>
      <c r="J9" s="1">
        <v>61.0</v>
      </c>
      <c r="K9" s="1">
        <v>0.339</v>
      </c>
      <c r="L9" s="1">
        <v>0.414</v>
      </c>
      <c r="M9" s="1">
        <v>0.661</v>
      </c>
      <c r="N9" s="1">
        <v>1.074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ht="16.5" customHeight="1">
      <c r="A10" s="1" t="s">
        <v>30</v>
      </c>
      <c r="B10" s="1">
        <v>193.0</v>
      </c>
      <c r="C10" s="1">
        <v>35.0</v>
      </c>
      <c r="D10" s="1">
        <v>4.0</v>
      </c>
      <c r="E10" s="1">
        <v>20.0</v>
      </c>
      <c r="F10" s="1">
        <v>80.0</v>
      </c>
      <c r="G10" s="1">
        <v>113.0</v>
      </c>
      <c r="H10" s="1">
        <v>25.0</v>
      </c>
      <c r="I10" s="1">
        <v>87.0</v>
      </c>
      <c r="J10" s="1">
        <v>96.0</v>
      </c>
      <c r="K10" s="1">
        <v>0.335</v>
      </c>
      <c r="L10" s="1">
        <v>0.42</v>
      </c>
      <c r="M10" s="1">
        <v>0.514</v>
      </c>
      <c r="N10" s="1">
        <v>0.934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ht="16.5" customHeight="1">
      <c r="A11" s="1" t="s">
        <v>31</v>
      </c>
      <c r="B11" s="1">
        <v>179.0</v>
      </c>
      <c r="C11" s="1">
        <v>28.0</v>
      </c>
      <c r="D11" s="1">
        <v>3.0</v>
      </c>
      <c r="E11" s="1">
        <v>6.0</v>
      </c>
      <c r="F11" s="1">
        <v>76.0</v>
      </c>
      <c r="G11" s="1">
        <v>87.0</v>
      </c>
      <c r="H11" s="1">
        <v>15.0</v>
      </c>
      <c r="I11" s="1">
        <v>68.0</v>
      </c>
      <c r="J11" s="1">
        <v>68.0</v>
      </c>
      <c r="K11" s="1">
        <v>0.332</v>
      </c>
      <c r="L11" s="1">
        <v>0.403</v>
      </c>
      <c r="M11" s="1">
        <v>0.429</v>
      </c>
      <c r="N11" s="1">
        <v>0.832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ht="16.5" customHeight="1">
      <c r="A12" s="1" t="s">
        <v>32</v>
      </c>
      <c r="B12" s="1">
        <v>154.0</v>
      </c>
      <c r="C12" s="1">
        <v>24.0</v>
      </c>
      <c r="D12" s="1">
        <v>4.0</v>
      </c>
      <c r="E12" s="1">
        <v>9.0</v>
      </c>
      <c r="F12" s="1">
        <v>63.0</v>
      </c>
      <c r="G12" s="1">
        <v>79.0</v>
      </c>
      <c r="H12" s="1">
        <v>8.0</v>
      </c>
      <c r="I12" s="1">
        <v>31.0</v>
      </c>
      <c r="J12" s="1">
        <v>57.0</v>
      </c>
      <c r="K12" s="1">
        <v>0.332</v>
      </c>
      <c r="L12" s="1">
        <v>0.371</v>
      </c>
      <c r="M12" s="1">
        <v>0.459</v>
      </c>
      <c r="N12" s="1">
        <v>0.831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ht="16.5" customHeight="1">
      <c r="A13" s="1" t="s">
        <v>33</v>
      </c>
      <c r="B13" s="1">
        <v>143.0</v>
      </c>
      <c r="C13" s="1">
        <v>26.0</v>
      </c>
      <c r="D13" s="1">
        <v>0.0</v>
      </c>
      <c r="E13" s="1">
        <v>13.0</v>
      </c>
      <c r="F13" s="1">
        <v>75.0</v>
      </c>
      <c r="G13" s="1">
        <v>71.0</v>
      </c>
      <c r="H13" s="1">
        <v>2.0</v>
      </c>
      <c r="I13" s="1">
        <v>24.0</v>
      </c>
      <c r="J13" s="1">
        <v>88.0</v>
      </c>
      <c r="K13" s="1">
        <v>0.327</v>
      </c>
      <c r="L13" s="1">
        <v>0.356</v>
      </c>
      <c r="M13" s="1">
        <v>0.476</v>
      </c>
      <c r="N13" s="1">
        <v>0.832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ht="16.5" customHeight="1">
      <c r="A14" s="1" t="s">
        <v>34</v>
      </c>
      <c r="B14" s="1">
        <v>179.0</v>
      </c>
      <c r="C14" s="1">
        <v>29.0</v>
      </c>
      <c r="D14" s="1">
        <v>8.0</v>
      </c>
      <c r="E14" s="1">
        <v>2.0</v>
      </c>
      <c r="F14" s="1">
        <v>47.0</v>
      </c>
      <c r="G14" s="1">
        <v>111.0</v>
      </c>
      <c r="H14" s="1">
        <v>12.0</v>
      </c>
      <c r="I14" s="1">
        <v>66.0</v>
      </c>
      <c r="J14" s="1">
        <v>67.0</v>
      </c>
      <c r="K14" s="1">
        <v>0.324</v>
      </c>
      <c r="L14" s="1">
        <v>0.395</v>
      </c>
      <c r="M14" s="1">
        <v>0.417</v>
      </c>
      <c r="N14" s="1">
        <v>0.812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ht="16.5" customHeight="1">
      <c r="A15" s="1" t="s">
        <v>35</v>
      </c>
      <c r="B15" s="1">
        <v>146.0</v>
      </c>
      <c r="C15" s="1">
        <v>27.0</v>
      </c>
      <c r="D15" s="1">
        <v>1.0</v>
      </c>
      <c r="E15" s="1">
        <v>18.0</v>
      </c>
      <c r="F15" s="1">
        <v>69.0</v>
      </c>
      <c r="G15" s="1">
        <v>76.0</v>
      </c>
      <c r="H15" s="1">
        <v>2.0</v>
      </c>
      <c r="I15" s="1">
        <v>37.0</v>
      </c>
      <c r="J15" s="1">
        <v>70.0</v>
      </c>
      <c r="K15" s="1">
        <v>0.321</v>
      </c>
      <c r="L15" s="1">
        <v>0.37</v>
      </c>
      <c r="M15" s="1">
        <v>0.503</v>
      </c>
      <c r="N15" s="1">
        <v>0.874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ht="16.5" customHeight="1">
      <c r="A16" s="1" t="s">
        <v>36</v>
      </c>
      <c r="B16" s="1">
        <v>173.0</v>
      </c>
      <c r="C16" s="1">
        <v>13.0</v>
      </c>
      <c r="D16" s="1">
        <v>0.0</v>
      </c>
      <c r="E16" s="1">
        <v>34.0</v>
      </c>
      <c r="F16" s="1">
        <v>111.0</v>
      </c>
      <c r="G16" s="1">
        <v>73.0</v>
      </c>
      <c r="H16" s="1">
        <v>1.0</v>
      </c>
      <c r="I16" s="1">
        <v>65.0</v>
      </c>
      <c r="J16" s="1">
        <v>84.0</v>
      </c>
      <c r="K16" s="1">
        <v>0.32</v>
      </c>
      <c r="L16" s="1">
        <v>0.391</v>
      </c>
      <c r="M16" s="1">
        <v>0.533</v>
      </c>
      <c r="N16" s="1">
        <v>0.925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ht="16.5" customHeight="1">
      <c r="A17" s="1" t="s">
        <v>37</v>
      </c>
      <c r="B17" s="1">
        <v>178.0</v>
      </c>
      <c r="C17" s="1">
        <v>26.0</v>
      </c>
      <c r="D17" s="1">
        <v>8.0</v>
      </c>
      <c r="E17" s="1">
        <v>27.0</v>
      </c>
      <c r="F17" s="1">
        <v>111.0</v>
      </c>
      <c r="G17" s="1">
        <v>118.0</v>
      </c>
      <c r="H17" s="1">
        <v>32.0</v>
      </c>
      <c r="I17" s="1">
        <v>52.0</v>
      </c>
      <c r="J17" s="1">
        <v>112.0</v>
      </c>
      <c r="K17" s="1">
        <v>0.32</v>
      </c>
      <c r="L17" s="1">
        <v>0.372</v>
      </c>
      <c r="M17" s="1">
        <v>0.54</v>
      </c>
      <c r="N17" s="1">
        <v>0.913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ht="16.5" customHeight="1">
      <c r="A18" s="1" t="s">
        <v>38</v>
      </c>
      <c r="B18" s="1">
        <v>136.0</v>
      </c>
      <c r="C18" s="1">
        <v>18.0</v>
      </c>
      <c r="D18" s="1">
        <v>1.0</v>
      </c>
      <c r="E18" s="1">
        <v>46.0</v>
      </c>
      <c r="F18" s="1">
        <v>113.0</v>
      </c>
      <c r="G18" s="1">
        <v>89.0</v>
      </c>
      <c r="H18" s="1">
        <v>1.0</v>
      </c>
      <c r="I18" s="1">
        <v>89.0</v>
      </c>
      <c r="J18" s="1">
        <v>107.0</v>
      </c>
      <c r="K18" s="1">
        <v>0.316</v>
      </c>
      <c r="L18" s="1">
        <v>0.427</v>
      </c>
      <c r="M18" s="1">
        <v>0.684</v>
      </c>
      <c r="N18" s="1">
        <v>1.111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ht="16.5" customHeight="1">
      <c r="A19" s="1" t="s">
        <v>39</v>
      </c>
      <c r="B19" s="1">
        <v>154.0</v>
      </c>
      <c r="C19" s="1">
        <v>29.0</v>
      </c>
      <c r="D19" s="1">
        <v>2.0</v>
      </c>
      <c r="E19" s="1">
        <v>21.0</v>
      </c>
      <c r="F19" s="1">
        <v>93.0</v>
      </c>
      <c r="G19" s="1">
        <v>95.0</v>
      </c>
      <c r="H19" s="1">
        <v>7.0</v>
      </c>
      <c r="I19" s="1">
        <v>47.0</v>
      </c>
      <c r="J19" s="1">
        <v>70.0</v>
      </c>
      <c r="K19" s="1">
        <v>0.316</v>
      </c>
      <c r="L19" s="1">
        <v>0.373</v>
      </c>
      <c r="M19" s="1">
        <v>0.513</v>
      </c>
      <c r="N19" s="1">
        <v>0.886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ht="16.5" customHeight="1">
      <c r="A20" s="1" t="s">
        <v>40</v>
      </c>
      <c r="B20" s="1">
        <v>162.0</v>
      </c>
      <c r="C20" s="1">
        <v>38.0</v>
      </c>
      <c r="D20" s="1">
        <v>0.0</v>
      </c>
      <c r="E20" s="1">
        <v>31.0</v>
      </c>
      <c r="F20" s="1">
        <v>124.0</v>
      </c>
      <c r="G20" s="1">
        <v>90.0</v>
      </c>
      <c r="H20" s="1">
        <v>2.0</v>
      </c>
      <c r="I20" s="1">
        <v>72.0</v>
      </c>
      <c r="J20" s="1">
        <v>107.0</v>
      </c>
      <c r="K20" s="1">
        <v>0.315</v>
      </c>
      <c r="L20" s="1">
        <v>0.396</v>
      </c>
      <c r="M20" s="1">
        <v>0.569</v>
      </c>
      <c r="N20" s="1">
        <v>0.965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ht="16.5" customHeight="1">
      <c r="A21" s="1" t="s">
        <v>41</v>
      </c>
      <c r="B21" s="1">
        <v>168.0</v>
      </c>
      <c r="C21" s="1">
        <v>30.0</v>
      </c>
      <c r="D21" s="1">
        <v>1.0</v>
      </c>
      <c r="E21" s="1">
        <v>20.0</v>
      </c>
      <c r="F21" s="1">
        <v>105.0</v>
      </c>
      <c r="G21" s="1">
        <v>90.0</v>
      </c>
      <c r="H21" s="1">
        <v>0.0</v>
      </c>
      <c r="I21" s="1">
        <v>41.0</v>
      </c>
      <c r="J21" s="1">
        <v>85.0</v>
      </c>
      <c r="K21" s="1">
        <v>0.312</v>
      </c>
      <c r="L21" s="1">
        <v>0.357</v>
      </c>
      <c r="M21" s="1">
        <v>0.483</v>
      </c>
      <c r="N21" s="1">
        <v>0.84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ht="16.5" customHeight="1">
      <c r="A22" s="1" t="s">
        <v>42</v>
      </c>
      <c r="B22" s="1">
        <f t="shared" ref="B22:N22" si="1">AVERAGE(B2:B21)</f>
        <v>165.95</v>
      </c>
      <c r="C22" s="1">
        <f t="shared" si="1"/>
        <v>29.35</v>
      </c>
      <c r="D22" s="1">
        <f t="shared" si="1"/>
        <v>2.45</v>
      </c>
      <c r="E22" s="1">
        <f t="shared" si="1"/>
        <v>20.55</v>
      </c>
      <c r="F22" s="1">
        <f t="shared" si="1"/>
        <v>89.55</v>
      </c>
      <c r="G22" s="1">
        <f t="shared" si="1"/>
        <v>92.25</v>
      </c>
      <c r="H22" s="1">
        <f t="shared" si="1"/>
        <v>8.85</v>
      </c>
      <c r="I22" s="1">
        <f t="shared" si="1"/>
        <v>61.2</v>
      </c>
      <c r="J22" s="1">
        <f t="shared" si="1"/>
        <v>81.8</v>
      </c>
      <c r="K22" s="1">
        <f t="shared" si="1"/>
        <v>0.33405</v>
      </c>
      <c r="L22" s="1">
        <f t="shared" si="1"/>
        <v>0.40245</v>
      </c>
      <c r="M22" s="1">
        <f t="shared" si="1"/>
        <v>0.5277</v>
      </c>
      <c r="N22" s="1">
        <f t="shared" si="1"/>
        <v>0.93035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ht="16.5" customHeight="1">
      <c r="A23" s="1" t="s">
        <v>43</v>
      </c>
      <c r="B23" s="1">
        <f t="shared" ref="B23:N23" si="2">STDEV.S(B2:B21)</f>
        <v>16.31749142</v>
      </c>
      <c r="C23" s="1">
        <f t="shared" si="2"/>
        <v>7.191186126</v>
      </c>
      <c r="D23" s="1">
        <f t="shared" si="2"/>
        <v>2.282081229</v>
      </c>
      <c r="E23" s="1">
        <f t="shared" si="2"/>
        <v>12.2408935</v>
      </c>
      <c r="F23" s="1">
        <f t="shared" si="2"/>
        <v>24.11916687</v>
      </c>
      <c r="G23" s="1">
        <f t="shared" si="2"/>
        <v>13.59130914</v>
      </c>
      <c r="H23" s="1">
        <f t="shared" si="2"/>
        <v>8.992833404</v>
      </c>
      <c r="I23" s="1">
        <f t="shared" si="2"/>
        <v>21.4392655</v>
      </c>
      <c r="J23" s="1">
        <f t="shared" si="2"/>
        <v>23.04594952</v>
      </c>
      <c r="K23" s="1">
        <f t="shared" si="2"/>
        <v>0.01742193113</v>
      </c>
      <c r="L23" s="1">
        <f t="shared" si="2"/>
        <v>0.02830561596</v>
      </c>
      <c r="M23" s="1">
        <f t="shared" si="2"/>
        <v>0.07205633761</v>
      </c>
      <c r="N23" s="1">
        <f t="shared" si="2"/>
        <v>0.08690725547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ht="16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ht="16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ht="16.5" customHeight="1">
      <c r="A26" s="3" t="s">
        <v>44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5"/>
      <c r="O26" s="1"/>
      <c r="P26" s="3" t="s">
        <v>22</v>
      </c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5"/>
      <c r="AD26" s="1"/>
      <c r="AE26" s="1"/>
      <c r="AF26" s="1"/>
      <c r="AG26" s="1"/>
      <c r="AH26" s="1"/>
    </row>
    <row r="27" ht="16.5" customHeight="1">
      <c r="A27" s="1" t="s">
        <v>1</v>
      </c>
      <c r="B27" s="1" t="s">
        <v>4</v>
      </c>
      <c r="C27" s="1" t="s">
        <v>5</v>
      </c>
      <c r="D27" s="1" t="s">
        <v>6</v>
      </c>
      <c r="E27" s="1" t="s">
        <v>7</v>
      </c>
      <c r="F27" s="1" t="s">
        <v>8</v>
      </c>
      <c r="G27" s="1" t="s">
        <v>9</v>
      </c>
      <c r="H27" s="1" t="s">
        <v>10</v>
      </c>
      <c r="I27" s="1" t="s">
        <v>11</v>
      </c>
      <c r="J27" s="1" t="s">
        <v>12</v>
      </c>
      <c r="K27" s="1" t="s">
        <v>13</v>
      </c>
      <c r="L27" s="1" t="s">
        <v>14</v>
      </c>
      <c r="M27" s="1" t="s">
        <v>15</v>
      </c>
      <c r="N27" s="1" t="s">
        <v>16</v>
      </c>
      <c r="O27" s="1"/>
      <c r="P27" s="1"/>
      <c r="Q27" s="1" t="s">
        <v>19</v>
      </c>
      <c r="R27" s="1" t="s">
        <v>20</v>
      </c>
      <c r="S27" s="1" t="s">
        <v>21</v>
      </c>
      <c r="T27" s="1" t="s">
        <v>45</v>
      </c>
      <c r="U27" s="1" t="s">
        <v>46</v>
      </c>
      <c r="V27" s="1" t="s">
        <v>47</v>
      </c>
      <c r="W27" s="1" t="s">
        <v>48</v>
      </c>
      <c r="X27" s="1" t="s">
        <v>49</v>
      </c>
      <c r="Y27" s="1" t="s">
        <v>50</v>
      </c>
      <c r="Z27" s="1" t="s">
        <v>51</v>
      </c>
      <c r="AA27" s="1" t="s">
        <v>52</v>
      </c>
      <c r="AB27" s="1" t="s">
        <v>53</v>
      </c>
      <c r="AC27" s="1" t="s">
        <v>54</v>
      </c>
      <c r="AD27" s="6" t="s">
        <v>55</v>
      </c>
      <c r="AE27" s="1"/>
      <c r="AF27" s="1"/>
      <c r="AG27" s="1"/>
      <c r="AH27" s="1"/>
    </row>
    <row r="28" ht="16.5" customHeight="1">
      <c r="A28" s="1" t="s">
        <v>17</v>
      </c>
      <c r="B28" s="7">
        <f t="shared" ref="B28:N28" si="3">(B2-B$22)/B$23</f>
        <v>0.6159034952</v>
      </c>
      <c r="C28" s="7">
        <f t="shared" si="3"/>
        <v>0.6466248987</v>
      </c>
      <c r="D28" s="7">
        <f t="shared" si="3"/>
        <v>-0.6353849203</v>
      </c>
      <c r="E28" s="7">
        <f t="shared" si="3"/>
        <v>-1.270332104</v>
      </c>
      <c r="F28" s="7">
        <f t="shared" si="3"/>
        <v>-1.059323489</v>
      </c>
      <c r="G28" s="7">
        <f t="shared" si="3"/>
        <v>-0.607005544</v>
      </c>
      <c r="H28" s="7">
        <f t="shared" si="3"/>
        <v>-0.5393183419</v>
      </c>
      <c r="I28" s="7">
        <f t="shared" si="3"/>
        <v>-0.8022662903</v>
      </c>
      <c r="J28" s="7">
        <f t="shared" si="3"/>
        <v>-1.813767749</v>
      </c>
      <c r="K28" s="7">
        <f t="shared" si="3"/>
        <v>2.06349111</v>
      </c>
      <c r="L28" s="7">
        <f t="shared" si="3"/>
        <v>0.620018304</v>
      </c>
      <c r="M28" s="7">
        <f t="shared" si="3"/>
        <v>-0.7036161104</v>
      </c>
      <c r="N28" s="7">
        <f t="shared" si="3"/>
        <v>-0.3837424139</v>
      </c>
      <c r="O28" s="1"/>
      <c r="P28" s="1" t="s">
        <v>22</v>
      </c>
      <c r="Q28" s="7">
        <v>4.670091202804867</v>
      </c>
      <c r="R28" s="7">
        <v>3.1692810392746744</v>
      </c>
      <c r="S28" s="7">
        <v>2.095890333613519</v>
      </c>
      <c r="T28" s="7">
        <v>1.0173647816032996</v>
      </c>
      <c r="U28" s="7">
        <v>0.9626923074030548</v>
      </c>
      <c r="V28" s="7">
        <v>0.43402262607917036</v>
      </c>
      <c r="W28" s="7">
        <v>0.326050659810734</v>
      </c>
      <c r="X28" s="7">
        <v>0.15039699368707707</v>
      </c>
      <c r="Y28" s="7">
        <v>0.11451186419431984</v>
      </c>
      <c r="Z28" s="7">
        <v>0.05207518194101732</v>
      </c>
      <c r="AA28" s="7">
        <v>0.004174597141054726</v>
      </c>
      <c r="AB28" s="7">
        <v>0.0034428615534998147</v>
      </c>
      <c r="AC28" s="7">
        <v>5.5508937076432205E-6</v>
      </c>
      <c r="AD28" s="6">
        <f>SUM(Q28:AC28)</f>
        <v>13</v>
      </c>
      <c r="AE28" s="1"/>
      <c r="AF28" s="1"/>
      <c r="AG28" s="1"/>
      <c r="AH28" s="1"/>
    </row>
    <row r="29" ht="16.5" customHeight="1">
      <c r="A29" s="1" t="s">
        <v>18</v>
      </c>
      <c r="B29" s="7">
        <f t="shared" ref="B29:N29" si="4">(B3-B$22)/B$23</f>
        <v>0.6771874251</v>
      </c>
      <c r="C29" s="7">
        <f t="shared" si="4"/>
        <v>1.480979607</v>
      </c>
      <c r="D29" s="7">
        <f t="shared" si="4"/>
        <v>-0.1971884235</v>
      </c>
      <c r="E29" s="7">
        <f t="shared" si="4"/>
        <v>-0.04493136061</v>
      </c>
      <c r="F29" s="7">
        <f t="shared" si="4"/>
        <v>-0.4788722621</v>
      </c>
      <c r="G29" s="7">
        <f t="shared" si="4"/>
        <v>-0.09197053697</v>
      </c>
      <c r="H29" s="7">
        <f t="shared" si="4"/>
        <v>1.239876188</v>
      </c>
      <c r="I29" s="7">
        <f t="shared" si="4"/>
        <v>-0.4757625675</v>
      </c>
      <c r="J29" s="7">
        <f t="shared" si="4"/>
        <v>-0.7723699985</v>
      </c>
      <c r="K29" s="7">
        <f t="shared" si="4"/>
        <v>1.833895437</v>
      </c>
      <c r="L29" s="7">
        <f t="shared" si="4"/>
        <v>0.7613330172</v>
      </c>
      <c r="M29" s="7">
        <f t="shared" si="4"/>
        <v>0.7535770177</v>
      </c>
      <c r="N29" s="7">
        <f t="shared" si="4"/>
        <v>0.8704681743</v>
      </c>
      <c r="O29" s="1"/>
      <c r="P29" s="1" t="s">
        <v>56</v>
      </c>
      <c r="Q29" s="7">
        <f t="shared" ref="Q29:AC29" si="5">Q28/13*100</f>
        <v>35.92377848</v>
      </c>
      <c r="R29" s="7">
        <f t="shared" si="5"/>
        <v>24.37908492</v>
      </c>
      <c r="S29" s="7">
        <f t="shared" si="5"/>
        <v>16.12223334</v>
      </c>
      <c r="T29" s="7">
        <f t="shared" si="5"/>
        <v>7.825882935</v>
      </c>
      <c r="U29" s="7">
        <f t="shared" si="5"/>
        <v>7.405325442</v>
      </c>
      <c r="V29" s="7">
        <f t="shared" si="5"/>
        <v>3.338635585</v>
      </c>
      <c r="W29" s="7">
        <f t="shared" si="5"/>
        <v>2.508081999</v>
      </c>
      <c r="X29" s="7">
        <f t="shared" si="5"/>
        <v>1.156899951</v>
      </c>
      <c r="Y29" s="7">
        <f t="shared" si="5"/>
        <v>0.8808604938</v>
      </c>
      <c r="Z29" s="7">
        <f t="shared" si="5"/>
        <v>0.4005783226</v>
      </c>
      <c r="AA29" s="7">
        <f t="shared" si="5"/>
        <v>0.0321122857</v>
      </c>
      <c r="AB29" s="7">
        <f t="shared" si="5"/>
        <v>0.02648355041</v>
      </c>
      <c r="AC29" s="7">
        <f t="shared" si="5"/>
        <v>0.00004269918237</v>
      </c>
      <c r="AD29" s="1"/>
      <c r="AE29" s="1"/>
      <c r="AF29" s="1"/>
      <c r="AG29" s="1"/>
      <c r="AH29" s="1"/>
    </row>
    <row r="30" ht="16.5" customHeight="1">
      <c r="A30" s="1" t="s">
        <v>24</v>
      </c>
      <c r="B30" s="7">
        <f t="shared" ref="B30:N30" si="6">(B4-B$22)/B$23</f>
        <v>-1.52903405</v>
      </c>
      <c r="C30" s="7">
        <f t="shared" si="6"/>
        <v>-0.6049071633</v>
      </c>
      <c r="D30" s="7">
        <f t="shared" si="6"/>
        <v>0.67920457</v>
      </c>
      <c r="E30" s="7">
        <f t="shared" si="6"/>
        <v>-1.43371887</v>
      </c>
      <c r="F30" s="7">
        <f t="shared" si="6"/>
        <v>-1.764157122</v>
      </c>
      <c r="G30" s="7">
        <f t="shared" si="6"/>
        <v>-0.607005544</v>
      </c>
      <c r="H30" s="7">
        <f t="shared" si="6"/>
        <v>0.2390792649</v>
      </c>
      <c r="I30" s="7">
        <f t="shared" si="6"/>
        <v>-0.1959022337</v>
      </c>
      <c r="J30" s="7">
        <f t="shared" si="6"/>
        <v>-1.336460447</v>
      </c>
      <c r="K30" s="7">
        <f t="shared" si="6"/>
        <v>1.661698682</v>
      </c>
      <c r="L30" s="7">
        <f t="shared" si="6"/>
        <v>1.361920548</v>
      </c>
      <c r="M30" s="7">
        <f t="shared" si="6"/>
        <v>-0.7730062594</v>
      </c>
      <c r="N30" s="7">
        <f t="shared" si="6"/>
        <v>-0.1996381074</v>
      </c>
      <c r="O30" s="1"/>
      <c r="P30" s="1" t="s">
        <v>57</v>
      </c>
      <c r="Q30" s="7">
        <f>Q29</f>
        <v>35.92377848</v>
      </c>
      <c r="R30" s="7">
        <f t="shared" ref="R30:AC30" si="7">Q30+R29</f>
        <v>60.3028634</v>
      </c>
      <c r="S30" s="7">
        <f t="shared" si="7"/>
        <v>76.42509674</v>
      </c>
      <c r="T30" s="7">
        <f t="shared" si="7"/>
        <v>84.25097967</v>
      </c>
      <c r="U30" s="7">
        <f t="shared" si="7"/>
        <v>91.65630511</v>
      </c>
      <c r="V30" s="7">
        <f t="shared" si="7"/>
        <v>94.9949407</v>
      </c>
      <c r="W30" s="7">
        <f t="shared" si="7"/>
        <v>97.5030227</v>
      </c>
      <c r="X30" s="7">
        <f t="shared" si="7"/>
        <v>98.65992265</v>
      </c>
      <c r="Y30" s="7">
        <f t="shared" si="7"/>
        <v>99.54078314</v>
      </c>
      <c r="Z30" s="7">
        <f t="shared" si="7"/>
        <v>99.94136146</v>
      </c>
      <c r="AA30" s="7">
        <f t="shared" si="7"/>
        <v>99.97347375</v>
      </c>
      <c r="AB30" s="7">
        <f t="shared" si="7"/>
        <v>99.9999573</v>
      </c>
      <c r="AC30" s="7">
        <f t="shared" si="7"/>
        <v>100</v>
      </c>
      <c r="AD30" s="1"/>
      <c r="AE30" s="1"/>
      <c r="AF30" s="1"/>
      <c r="AG30" s="1"/>
      <c r="AH30" s="1"/>
    </row>
    <row r="31" ht="16.5" customHeight="1">
      <c r="A31" s="1" t="s">
        <v>25</v>
      </c>
      <c r="B31" s="7">
        <f t="shared" ref="B31:N31" si="8">(B5-B$22)/B$23</f>
        <v>0.4320517056</v>
      </c>
      <c r="C31" s="7">
        <f t="shared" si="8"/>
        <v>1.759097843</v>
      </c>
      <c r="D31" s="7">
        <f t="shared" si="8"/>
        <v>-0.1971884235</v>
      </c>
      <c r="E31" s="7">
        <f t="shared" si="8"/>
        <v>0.2818421711</v>
      </c>
      <c r="F31" s="7">
        <f t="shared" si="8"/>
        <v>0.3918045781</v>
      </c>
      <c r="G31" s="7">
        <f t="shared" si="8"/>
        <v>0.790946618</v>
      </c>
      <c r="H31" s="7">
        <f t="shared" si="8"/>
        <v>0.9062772136</v>
      </c>
      <c r="I31" s="7">
        <f t="shared" si="8"/>
        <v>-0.05597206676</v>
      </c>
      <c r="J31" s="7">
        <f t="shared" si="8"/>
        <v>1.483991795</v>
      </c>
      <c r="K31" s="7">
        <f t="shared" si="8"/>
        <v>0.7433159909</v>
      </c>
      <c r="L31" s="7">
        <f t="shared" si="8"/>
        <v>0.4433749126</v>
      </c>
      <c r="M31" s="7">
        <f t="shared" si="8"/>
        <v>0.7813330773</v>
      </c>
      <c r="N31" s="7">
        <f t="shared" si="8"/>
        <v>0.8014290594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ht="16.5" customHeight="1">
      <c r="A32" s="1" t="s">
        <v>26</v>
      </c>
      <c r="B32" s="7">
        <f t="shared" ref="B32:N32" si="9">(B6-B$22)/B$23</f>
        <v>0.5546195653</v>
      </c>
      <c r="C32" s="7">
        <f t="shared" si="9"/>
        <v>-0.8830253993</v>
      </c>
      <c r="D32" s="7">
        <f t="shared" si="9"/>
        <v>-0.1971884235</v>
      </c>
      <c r="E32" s="7">
        <f t="shared" si="9"/>
        <v>-0.5350916581</v>
      </c>
      <c r="F32" s="7">
        <f t="shared" si="9"/>
        <v>0.01865736086</v>
      </c>
      <c r="G32" s="7">
        <f t="shared" si="9"/>
        <v>-0.6805819736</v>
      </c>
      <c r="H32" s="7">
        <f t="shared" si="9"/>
        <v>-0.5393183419</v>
      </c>
      <c r="I32" s="7">
        <f t="shared" si="9"/>
        <v>0.7836089347</v>
      </c>
      <c r="J32" s="7">
        <f t="shared" si="9"/>
        <v>0.2690277523</v>
      </c>
      <c r="K32" s="7">
        <f t="shared" si="9"/>
        <v>0.5711192363</v>
      </c>
      <c r="L32" s="7">
        <f t="shared" si="9"/>
        <v>0.7966616955</v>
      </c>
      <c r="M32" s="7">
        <f t="shared" si="9"/>
        <v>-0.6758600509</v>
      </c>
      <c r="N32" s="7">
        <f t="shared" si="9"/>
        <v>-0.3031967798</v>
      </c>
      <c r="O32" s="1"/>
      <c r="P32" s="3" t="s">
        <v>23</v>
      </c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5"/>
      <c r="AD32" s="1"/>
      <c r="AE32" s="1"/>
      <c r="AF32" s="1"/>
      <c r="AG32" s="1"/>
      <c r="AH32" s="1"/>
    </row>
    <row r="33" ht="16.5" customHeight="1">
      <c r="A33" s="1" t="s">
        <v>27</v>
      </c>
      <c r="B33" s="7">
        <f t="shared" ref="B33:N33" si="10">(B7-B$22)/B$23</f>
        <v>0.6159034952</v>
      </c>
      <c r="C33" s="7">
        <f t="shared" si="10"/>
        <v>0.9247431347</v>
      </c>
      <c r="D33" s="7">
        <f t="shared" si="10"/>
        <v>0.2410080732</v>
      </c>
      <c r="E33" s="7">
        <f t="shared" si="10"/>
        <v>0.4452289369</v>
      </c>
      <c r="F33" s="7">
        <f t="shared" si="10"/>
        <v>1.262481418</v>
      </c>
      <c r="G33" s="7">
        <f t="shared" si="10"/>
        <v>0.4230644701</v>
      </c>
      <c r="H33" s="7">
        <f t="shared" si="10"/>
        <v>-0.9841169743</v>
      </c>
      <c r="I33" s="7">
        <f t="shared" si="10"/>
        <v>2.136267215</v>
      </c>
      <c r="J33" s="7">
        <f t="shared" si="10"/>
        <v>0.00867831459</v>
      </c>
      <c r="K33" s="7">
        <f t="shared" si="10"/>
        <v>0.4563213998</v>
      </c>
      <c r="L33" s="7">
        <f t="shared" si="10"/>
        <v>1.679878653</v>
      </c>
      <c r="M33" s="7">
        <f t="shared" si="10"/>
        <v>0.6703088389</v>
      </c>
      <c r="N33" s="7">
        <f t="shared" si="10"/>
        <v>1.100598557</v>
      </c>
      <c r="O33" s="1"/>
      <c r="P33" s="1"/>
      <c r="Q33" s="1" t="s">
        <v>19</v>
      </c>
      <c r="R33" s="1" t="s">
        <v>20</v>
      </c>
      <c r="S33" s="1" t="s">
        <v>21</v>
      </c>
      <c r="T33" s="1" t="s">
        <v>45</v>
      </c>
      <c r="U33" s="1" t="s">
        <v>46</v>
      </c>
      <c r="V33" s="1" t="s">
        <v>47</v>
      </c>
      <c r="W33" s="1" t="s">
        <v>48</v>
      </c>
      <c r="X33" s="1" t="s">
        <v>49</v>
      </c>
      <c r="Y33" s="1" t="s">
        <v>50</v>
      </c>
      <c r="Z33" s="1" t="s">
        <v>51</v>
      </c>
      <c r="AA33" s="1" t="s">
        <v>52</v>
      </c>
      <c r="AB33" s="1" t="s">
        <v>53</v>
      </c>
      <c r="AC33" s="1" t="s">
        <v>54</v>
      </c>
      <c r="AD33" s="1"/>
      <c r="AE33" s="1"/>
      <c r="AF33" s="1"/>
      <c r="AG33" s="1"/>
      <c r="AH33" s="1"/>
    </row>
    <row r="34" ht="16.5" customHeight="1">
      <c r="A34" s="1" t="s">
        <v>28</v>
      </c>
      <c r="B34" s="7">
        <f t="shared" ref="B34:N34" si="11">(B8-B$22)/B$23</f>
        <v>1.167458864</v>
      </c>
      <c r="C34" s="7">
        <f t="shared" si="11"/>
        <v>0.6466248987</v>
      </c>
      <c r="D34" s="7">
        <f t="shared" si="11"/>
        <v>-0.1971884235</v>
      </c>
      <c r="E34" s="7">
        <f t="shared" si="11"/>
        <v>1.180469383</v>
      </c>
      <c r="F34" s="7">
        <f t="shared" si="11"/>
        <v>1.055177409</v>
      </c>
      <c r="G34" s="7">
        <f t="shared" si="11"/>
        <v>1.305981625</v>
      </c>
      <c r="H34" s="7">
        <f t="shared" si="11"/>
        <v>-0.5393183419</v>
      </c>
      <c r="I34" s="7">
        <f t="shared" si="11"/>
        <v>1.250042824</v>
      </c>
      <c r="J34" s="7">
        <f t="shared" si="11"/>
        <v>1.787732806</v>
      </c>
      <c r="K34" s="7">
        <f t="shared" si="11"/>
        <v>0.3415235634</v>
      </c>
      <c r="L34" s="7">
        <f t="shared" si="11"/>
        <v>0.9379764086</v>
      </c>
      <c r="M34" s="7">
        <f t="shared" si="11"/>
        <v>1.045015643</v>
      </c>
      <c r="N34" s="7">
        <f t="shared" si="11"/>
        <v>1.169637672</v>
      </c>
      <c r="O34" s="1"/>
      <c r="P34" s="1" t="s">
        <v>4</v>
      </c>
      <c r="Q34" s="7">
        <v>0.07831656105682525</v>
      </c>
      <c r="R34" s="7">
        <v>0.4029018090327615</v>
      </c>
      <c r="S34" s="7">
        <v>-0.11610651717823472</v>
      </c>
      <c r="T34" s="7">
        <v>0.006217729741123845</v>
      </c>
      <c r="U34" s="7">
        <v>0.5453397869706981</v>
      </c>
      <c r="V34" s="7">
        <v>-0.47688174796442345</v>
      </c>
      <c r="W34" s="7">
        <v>-0.294408399817957</v>
      </c>
      <c r="X34" s="7">
        <v>-0.11974911662457366</v>
      </c>
      <c r="Y34" s="7">
        <v>-0.28885050831288833</v>
      </c>
      <c r="Z34" s="7">
        <v>-0.25797101832196356</v>
      </c>
      <c r="AA34" s="7">
        <v>-0.0970602097810273</v>
      </c>
      <c r="AB34" s="7">
        <v>0.18105294371812772</v>
      </c>
      <c r="AC34" s="7">
        <v>-0.0022154545718092783</v>
      </c>
      <c r="AD34" s="1"/>
      <c r="AE34" s="1"/>
      <c r="AF34" s="1"/>
      <c r="AG34" s="1"/>
      <c r="AH34" s="1"/>
    </row>
    <row r="35" ht="16.5" customHeight="1">
      <c r="A35" s="1" t="s">
        <v>29</v>
      </c>
      <c r="B35" s="7">
        <f t="shared" ref="B35:N35" si="12">(B9-B$22)/B$23</f>
        <v>-0.9161947516</v>
      </c>
      <c r="C35" s="7">
        <f t="shared" si="12"/>
        <v>0.0903884267</v>
      </c>
      <c r="D35" s="7">
        <f t="shared" si="12"/>
        <v>-0.6353849203</v>
      </c>
      <c r="E35" s="7">
        <f t="shared" si="12"/>
        <v>1.343856149</v>
      </c>
      <c r="F35" s="7">
        <f t="shared" si="12"/>
        <v>0.8893342011</v>
      </c>
      <c r="G35" s="7">
        <f t="shared" si="12"/>
        <v>0.5702173292</v>
      </c>
      <c r="H35" s="7">
        <f t="shared" si="12"/>
        <v>0.1278796068</v>
      </c>
      <c r="I35" s="7">
        <f t="shared" si="12"/>
        <v>-0.05597206676</v>
      </c>
      <c r="J35" s="7">
        <f t="shared" si="12"/>
        <v>-0.9025447174</v>
      </c>
      <c r="K35" s="7">
        <f t="shared" si="12"/>
        <v>0.2841246452</v>
      </c>
      <c r="L35" s="7">
        <f t="shared" si="12"/>
        <v>0.4080462343</v>
      </c>
      <c r="M35" s="7">
        <f t="shared" si="12"/>
        <v>1.849941371</v>
      </c>
      <c r="N35" s="7">
        <f t="shared" si="12"/>
        <v>1.652911477</v>
      </c>
      <c r="O35" s="1"/>
      <c r="P35" s="1" t="s">
        <v>5</v>
      </c>
      <c r="Q35" s="7">
        <v>0.10859032107860545</v>
      </c>
      <c r="R35" s="7">
        <v>0.29808896319696865</v>
      </c>
      <c r="S35" s="7">
        <v>0.1376598707824727</v>
      </c>
      <c r="T35" s="7">
        <v>0.6686255753367959</v>
      </c>
      <c r="U35" s="7">
        <v>0.2454842191404348</v>
      </c>
      <c r="V35" s="7">
        <v>0.4783872077655251</v>
      </c>
      <c r="W35" s="7">
        <v>0.019251626165212556</v>
      </c>
      <c r="X35" s="7">
        <v>0.2010854031803544</v>
      </c>
      <c r="Y35" s="7">
        <v>0.12622512403009858</v>
      </c>
      <c r="Z35" s="7">
        <v>-0.25209379195529796</v>
      </c>
      <c r="AA35" s="7">
        <v>0.15004937179516836</v>
      </c>
      <c r="AB35" s="7">
        <v>-0.0374852310495146</v>
      </c>
      <c r="AC35" s="7">
        <v>-0.0037291936424312063</v>
      </c>
      <c r="AD35" s="1"/>
      <c r="AE35" s="1"/>
      <c r="AF35" s="1"/>
      <c r="AG35" s="1"/>
      <c r="AH35" s="1"/>
    </row>
    <row r="36" ht="16.5" customHeight="1">
      <c r="A36" s="1" t="s">
        <v>30</v>
      </c>
      <c r="B36" s="7">
        <f t="shared" ref="B36:N36" si="13">(B10-B$22)/B$23</f>
        <v>1.657730303</v>
      </c>
      <c r="C36" s="7">
        <f t="shared" si="13"/>
        <v>0.7856840167</v>
      </c>
      <c r="D36" s="7">
        <f t="shared" si="13"/>
        <v>0.67920457</v>
      </c>
      <c r="E36" s="7">
        <f t="shared" si="13"/>
        <v>-0.04493136061</v>
      </c>
      <c r="F36" s="7">
        <f t="shared" si="13"/>
        <v>-0.3959506583</v>
      </c>
      <c r="G36" s="7">
        <f t="shared" si="13"/>
        <v>1.526710914</v>
      </c>
      <c r="H36" s="7">
        <f t="shared" si="13"/>
        <v>1.795874479</v>
      </c>
      <c r="I36" s="7">
        <f t="shared" si="13"/>
        <v>1.203399435</v>
      </c>
      <c r="J36" s="7">
        <f t="shared" si="13"/>
        <v>0.6161603359</v>
      </c>
      <c r="K36" s="7">
        <f t="shared" si="13"/>
        <v>0.05452897231</v>
      </c>
      <c r="L36" s="7">
        <f t="shared" si="13"/>
        <v>0.620018304</v>
      </c>
      <c r="M36" s="7">
        <f t="shared" si="13"/>
        <v>-0.1901290081</v>
      </c>
      <c r="N36" s="7">
        <f t="shared" si="13"/>
        <v>0.04199879493</v>
      </c>
      <c r="O36" s="1"/>
      <c r="P36" s="1" t="s">
        <v>6</v>
      </c>
      <c r="Q36" s="7">
        <v>-0.09625907893776069</v>
      </c>
      <c r="R36" s="7">
        <v>0.40989201237163214</v>
      </c>
      <c r="S36" s="7">
        <v>-0.27582515288380777</v>
      </c>
      <c r="T36" s="7">
        <v>-0.3149029789341427</v>
      </c>
      <c r="U36" s="7">
        <v>-0.3185641689333322</v>
      </c>
      <c r="V36" s="7">
        <v>0.22157168584248682</v>
      </c>
      <c r="W36" s="7">
        <v>-0.05474438621807862</v>
      </c>
      <c r="X36" s="7">
        <v>-0.3555927420702772</v>
      </c>
      <c r="Y36" s="7">
        <v>0.3136928993011376</v>
      </c>
      <c r="Z36" s="7">
        <v>-0.5112802076214842</v>
      </c>
      <c r="AA36" s="7">
        <v>0.08715212769692815</v>
      </c>
      <c r="AB36" s="7">
        <v>9.573427018592076E-4</v>
      </c>
      <c r="AC36" s="7">
        <v>-0.007207179456864155</v>
      </c>
      <c r="AD36" s="1"/>
      <c r="AE36" s="1"/>
      <c r="AF36" s="1"/>
      <c r="AG36" s="1"/>
      <c r="AH36" s="1"/>
    </row>
    <row r="37" ht="16.5" customHeight="1">
      <c r="A37" s="1" t="s">
        <v>31</v>
      </c>
      <c r="B37" s="7">
        <f t="shared" ref="B37:N37" si="14">(B11-B$22)/B$23</f>
        <v>0.7997552848</v>
      </c>
      <c r="C37" s="7">
        <f t="shared" si="14"/>
        <v>-0.1877298093</v>
      </c>
      <c r="D37" s="7">
        <f t="shared" si="14"/>
        <v>0.2410080732</v>
      </c>
      <c r="E37" s="7">
        <f t="shared" si="14"/>
        <v>-1.188638721</v>
      </c>
      <c r="F37" s="7">
        <f t="shared" si="14"/>
        <v>-0.561793866</v>
      </c>
      <c r="G37" s="7">
        <f t="shared" si="14"/>
        <v>-0.3862762553</v>
      </c>
      <c r="H37" s="7">
        <f t="shared" si="14"/>
        <v>0.6838778974</v>
      </c>
      <c r="I37" s="7">
        <f t="shared" si="14"/>
        <v>0.317175045</v>
      </c>
      <c r="J37" s="7">
        <f t="shared" si="14"/>
        <v>-0.5988037067</v>
      </c>
      <c r="K37" s="7">
        <f t="shared" si="14"/>
        <v>-0.1176677823</v>
      </c>
      <c r="L37" s="7">
        <f t="shared" si="14"/>
        <v>0.01943077306</v>
      </c>
      <c r="M37" s="7">
        <f t="shared" si="14"/>
        <v>-1.36976154</v>
      </c>
      <c r="N37" s="7">
        <f t="shared" si="14"/>
        <v>-1.131666159</v>
      </c>
      <c r="O37" s="1"/>
      <c r="P37" s="1" t="s">
        <v>7</v>
      </c>
      <c r="Q37" s="7">
        <v>0.40782138844423593</v>
      </c>
      <c r="R37" s="7">
        <v>-0.2117136376168459</v>
      </c>
      <c r="S37" s="7">
        <v>-0.11996933601126282</v>
      </c>
      <c r="T37" s="7">
        <v>0.031112177753416653</v>
      </c>
      <c r="U37" s="7">
        <v>-0.13940729918736025</v>
      </c>
      <c r="V37" s="7">
        <v>-0.16397555929382662</v>
      </c>
      <c r="W37" s="7">
        <v>-0.1780423804168515</v>
      </c>
      <c r="X37" s="7">
        <v>-0.0185538427269845</v>
      </c>
      <c r="Y37" s="7">
        <v>-0.21745096917161932</v>
      </c>
      <c r="Z37" s="7">
        <v>-0.16117645270829817</v>
      </c>
      <c r="AA37" s="7">
        <v>0.7377003220991117</v>
      </c>
      <c r="AB37" s="7">
        <v>-0.2783338011277142</v>
      </c>
      <c r="AC37" s="7">
        <v>-0.014088477327197492</v>
      </c>
      <c r="AD37" s="1"/>
      <c r="AE37" s="1"/>
      <c r="AF37" s="1"/>
      <c r="AG37" s="1"/>
      <c r="AH37" s="1"/>
    </row>
    <row r="38" ht="16.5" customHeight="1">
      <c r="A38" s="1" t="s">
        <v>32</v>
      </c>
      <c r="B38" s="7">
        <f t="shared" ref="B38:N38" si="15">(B12-B$22)/B$23</f>
        <v>-0.732342962</v>
      </c>
      <c r="C38" s="7">
        <f t="shared" si="15"/>
        <v>-0.7439662813</v>
      </c>
      <c r="D38" s="7">
        <f t="shared" si="15"/>
        <v>0.67920457</v>
      </c>
      <c r="E38" s="7">
        <f t="shared" si="15"/>
        <v>-0.9435585727</v>
      </c>
      <c r="F38" s="7">
        <f t="shared" si="15"/>
        <v>-1.100784291</v>
      </c>
      <c r="G38" s="7">
        <f t="shared" si="15"/>
        <v>-0.9748876919</v>
      </c>
      <c r="H38" s="7">
        <f t="shared" si="15"/>
        <v>-0.0945197094</v>
      </c>
      <c r="I38" s="7">
        <f t="shared" si="15"/>
        <v>-1.408630347</v>
      </c>
      <c r="J38" s="7">
        <f t="shared" si="15"/>
        <v>-1.076111009</v>
      </c>
      <c r="K38" s="7">
        <f t="shared" si="15"/>
        <v>-0.1176677823</v>
      </c>
      <c r="L38" s="7">
        <f t="shared" si="15"/>
        <v>-1.111086932</v>
      </c>
      <c r="M38" s="7">
        <f t="shared" si="15"/>
        <v>-0.9534206467</v>
      </c>
      <c r="N38" s="7">
        <f t="shared" si="15"/>
        <v>-1.143172678</v>
      </c>
      <c r="O38" s="1"/>
      <c r="P38" s="1" t="s">
        <v>8</v>
      </c>
      <c r="Q38" s="7">
        <v>0.38789640253765895</v>
      </c>
      <c r="R38" s="7">
        <v>-0.16037758073408517</v>
      </c>
      <c r="S38" s="7">
        <v>-0.17978588406805301</v>
      </c>
      <c r="T38" s="7">
        <v>0.08858964628619145</v>
      </c>
      <c r="U38" s="7">
        <v>0.19255216119237784</v>
      </c>
      <c r="V38" s="7">
        <v>-0.15097269235821348</v>
      </c>
      <c r="W38" s="7">
        <v>-0.26868115684307803</v>
      </c>
      <c r="X38" s="7">
        <v>-0.12689847378556998</v>
      </c>
      <c r="Y38" s="7">
        <v>0.7579758238816549</v>
      </c>
      <c r="Z38" s="7">
        <v>0.2279502643296626</v>
      </c>
      <c r="AA38" s="7">
        <v>-0.05671278991742148</v>
      </c>
      <c r="AB38" s="7">
        <v>0.0759879153439796</v>
      </c>
      <c r="AC38" s="7">
        <v>0.0018086547535593161</v>
      </c>
      <c r="AD38" s="1"/>
      <c r="AE38" s="1"/>
      <c r="AF38" s="1"/>
      <c r="AG38" s="1"/>
      <c r="AH38" s="1"/>
    </row>
    <row r="39" ht="16.5" customHeight="1">
      <c r="A39" s="1" t="s">
        <v>33</v>
      </c>
      <c r="B39" s="7">
        <f t="shared" ref="B39:N39" si="16">(B13-B$22)/B$23</f>
        <v>-1.406466191</v>
      </c>
      <c r="C39" s="7">
        <f t="shared" si="16"/>
        <v>-0.4658480453</v>
      </c>
      <c r="D39" s="7">
        <f t="shared" si="16"/>
        <v>-1.073581417</v>
      </c>
      <c r="E39" s="7">
        <f t="shared" si="16"/>
        <v>-0.616785041</v>
      </c>
      <c r="F39" s="7">
        <f t="shared" si="16"/>
        <v>-0.6032546679</v>
      </c>
      <c r="G39" s="7">
        <f t="shared" si="16"/>
        <v>-1.563499129</v>
      </c>
      <c r="H39" s="7">
        <f t="shared" si="16"/>
        <v>-0.7617176581</v>
      </c>
      <c r="I39" s="7">
        <f t="shared" si="16"/>
        <v>-1.73513407</v>
      </c>
      <c r="J39" s="7">
        <f t="shared" si="16"/>
        <v>0.2690277523</v>
      </c>
      <c r="K39" s="7">
        <f t="shared" si="16"/>
        <v>-0.4046623734</v>
      </c>
      <c r="L39" s="7">
        <f t="shared" si="16"/>
        <v>-1.641017107</v>
      </c>
      <c r="M39" s="7">
        <f t="shared" si="16"/>
        <v>-0.7174941402</v>
      </c>
      <c r="N39" s="7">
        <f t="shared" si="16"/>
        <v>-1.131666159</v>
      </c>
      <c r="O39" s="1"/>
      <c r="P39" s="1" t="s">
        <v>9</v>
      </c>
      <c r="Q39" s="7">
        <v>0.2129417173098419</v>
      </c>
      <c r="R39" s="7">
        <v>0.40760820761831945</v>
      </c>
      <c r="S39" s="7">
        <v>-0.2621795948503456</v>
      </c>
      <c r="T39" s="7">
        <v>0.03658940745814359</v>
      </c>
      <c r="U39" s="7">
        <v>-0.1322801837358983</v>
      </c>
      <c r="V39" s="7">
        <v>0.31841649107207903</v>
      </c>
      <c r="W39" s="7">
        <v>-0.21504466522764518</v>
      </c>
      <c r="X39" s="7">
        <v>-0.24658718327055396</v>
      </c>
      <c r="Y39" s="7">
        <v>-0.29897385854114145</v>
      </c>
      <c r="Z39" s="7">
        <v>0.6340907429582965</v>
      </c>
      <c r="AA39" s="7">
        <v>-0.016724532112815795</v>
      </c>
      <c r="AB39" s="7">
        <v>-0.026593005562326313</v>
      </c>
      <c r="AC39" s="7">
        <v>0.007386292008856514</v>
      </c>
      <c r="AD39" s="1"/>
      <c r="AE39" s="1"/>
      <c r="AF39" s="1"/>
      <c r="AG39" s="1"/>
      <c r="AH39" s="1"/>
    </row>
    <row r="40" ht="16.5" customHeight="1">
      <c r="A40" s="1" t="s">
        <v>34</v>
      </c>
      <c r="B40" s="7">
        <f t="shared" ref="B40:N40" si="17">(B14-B$22)/B$23</f>
        <v>0.7997552848</v>
      </c>
      <c r="C40" s="7">
        <f t="shared" si="17"/>
        <v>-0.0486706913</v>
      </c>
      <c r="D40" s="7">
        <f t="shared" si="17"/>
        <v>2.431990557</v>
      </c>
      <c r="E40" s="7">
        <f t="shared" si="17"/>
        <v>-1.515412253</v>
      </c>
      <c r="F40" s="7">
        <f t="shared" si="17"/>
        <v>-1.764157122</v>
      </c>
      <c r="G40" s="7">
        <f t="shared" si="17"/>
        <v>1.379558055</v>
      </c>
      <c r="H40" s="7">
        <f t="shared" si="17"/>
        <v>0.3502789231</v>
      </c>
      <c r="I40" s="7">
        <f t="shared" si="17"/>
        <v>0.223888267</v>
      </c>
      <c r="J40" s="7">
        <f t="shared" si="17"/>
        <v>-0.6421952797</v>
      </c>
      <c r="K40" s="7">
        <f t="shared" si="17"/>
        <v>-0.5768591281</v>
      </c>
      <c r="L40" s="7">
        <f t="shared" si="17"/>
        <v>-0.2631986533</v>
      </c>
      <c r="M40" s="7">
        <f t="shared" si="17"/>
        <v>-1.536297898</v>
      </c>
      <c r="N40" s="7">
        <f t="shared" si="17"/>
        <v>-1.361796542</v>
      </c>
      <c r="O40" s="1"/>
      <c r="P40" s="1" t="s">
        <v>10</v>
      </c>
      <c r="Q40" s="7">
        <v>-4.8122386131398945E-4</v>
      </c>
      <c r="R40" s="7">
        <v>0.4192660846906552</v>
      </c>
      <c r="S40" s="7">
        <v>-0.20683678829780175</v>
      </c>
      <c r="T40" s="7">
        <v>0.17418579491795505</v>
      </c>
      <c r="U40" s="7">
        <v>-0.430625292523844</v>
      </c>
      <c r="V40" s="7">
        <v>-0.45204927175878873</v>
      </c>
      <c r="W40" s="7">
        <v>0.1221720526589528</v>
      </c>
      <c r="X40" s="7">
        <v>0.5605614104156625</v>
      </c>
      <c r="Y40" s="7">
        <v>0.14752693391524438</v>
      </c>
      <c r="Z40" s="7">
        <v>0.10053455902414639</v>
      </c>
      <c r="AA40" s="7">
        <v>4.7860832482913624E-4</v>
      </c>
      <c r="AB40" s="7">
        <v>-0.016734305578658</v>
      </c>
      <c r="AC40" s="7">
        <v>3.4454677126332186E-4</v>
      </c>
      <c r="AD40" s="1"/>
      <c r="AE40" s="1"/>
      <c r="AF40" s="1"/>
      <c r="AG40" s="1"/>
      <c r="AH40" s="1"/>
    </row>
    <row r="41" ht="16.5" customHeight="1">
      <c r="A41" s="1" t="s">
        <v>35</v>
      </c>
      <c r="B41" s="7">
        <f t="shared" ref="B41:N41" si="18">(B15-B$22)/B$23</f>
        <v>-1.222614401</v>
      </c>
      <c r="C41" s="7">
        <f t="shared" si="18"/>
        <v>-0.3267889273</v>
      </c>
      <c r="D41" s="7">
        <f t="shared" si="18"/>
        <v>-0.6353849203</v>
      </c>
      <c r="E41" s="7">
        <f t="shared" si="18"/>
        <v>-0.2083181264</v>
      </c>
      <c r="F41" s="7">
        <f t="shared" si="18"/>
        <v>-0.8520194794</v>
      </c>
      <c r="G41" s="7">
        <f t="shared" si="18"/>
        <v>-1.195616981</v>
      </c>
      <c r="H41" s="7">
        <f t="shared" si="18"/>
        <v>-0.7617176581</v>
      </c>
      <c r="I41" s="7">
        <f t="shared" si="18"/>
        <v>-1.128770013</v>
      </c>
      <c r="J41" s="7">
        <f t="shared" si="18"/>
        <v>-0.5120205608</v>
      </c>
      <c r="K41" s="7">
        <f t="shared" si="18"/>
        <v>-0.7490558828</v>
      </c>
      <c r="L41" s="7">
        <f t="shared" si="18"/>
        <v>-1.146415611</v>
      </c>
      <c r="M41" s="7">
        <f t="shared" si="18"/>
        <v>-0.3427873359</v>
      </c>
      <c r="N41" s="7">
        <f t="shared" si="18"/>
        <v>-0.6483923546</v>
      </c>
      <c r="O41" s="1"/>
      <c r="P41" s="1" t="s">
        <v>11</v>
      </c>
      <c r="Q41" s="7">
        <v>0.3335287772530728</v>
      </c>
      <c r="R41" s="7">
        <v>0.16661119039563232</v>
      </c>
      <c r="S41" s="7">
        <v>0.08749653188513083</v>
      </c>
      <c r="T41" s="7">
        <v>-0.5109757747732757</v>
      </c>
      <c r="U41" s="7">
        <v>0.26868478776444255</v>
      </c>
      <c r="V41" s="7">
        <v>0.1896402372745679</v>
      </c>
      <c r="W41" s="7">
        <v>0.025138816126464077</v>
      </c>
      <c r="X41" s="7">
        <v>0.40062692778317444</v>
      </c>
      <c r="Y41" s="7">
        <v>0.040833691739495144</v>
      </c>
      <c r="Z41" s="7">
        <v>-0.036497667364399466</v>
      </c>
      <c r="AA41" s="7">
        <v>-0.18863812696847335</v>
      </c>
      <c r="AB41" s="7">
        <v>-0.533179722929522</v>
      </c>
      <c r="AC41" s="7">
        <v>0.009701565731793661</v>
      </c>
      <c r="AD41" s="1"/>
      <c r="AE41" s="1"/>
      <c r="AF41" s="1"/>
      <c r="AG41" s="1"/>
      <c r="AH41" s="1"/>
    </row>
    <row r="42" ht="16.5" customHeight="1">
      <c r="A42" s="1" t="s">
        <v>36</v>
      </c>
      <c r="B42" s="7">
        <f t="shared" ref="B42:N42" si="19">(B16-B$22)/B$23</f>
        <v>0.4320517056</v>
      </c>
      <c r="C42" s="7">
        <f t="shared" si="19"/>
        <v>-2.273616579</v>
      </c>
      <c r="D42" s="7">
        <f t="shared" si="19"/>
        <v>-1.073581417</v>
      </c>
      <c r="E42" s="7">
        <f t="shared" si="19"/>
        <v>1.098776</v>
      </c>
      <c r="F42" s="7">
        <f t="shared" si="19"/>
        <v>0.8893342011</v>
      </c>
      <c r="G42" s="7">
        <f t="shared" si="19"/>
        <v>-1.416346269</v>
      </c>
      <c r="H42" s="7">
        <f t="shared" si="19"/>
        <v>-0.8729173162</v>
      </c>
      <c r="I42" s="7">
        <f t="shared" si="19"/>
        <v>0.1772448781</v>
      </c>
      <c r="J42" s="7">
        <f t="shared" si="19"/>
        <v>0.09546146049</v>
      </c>
      <c r="K42" s="7">
        <f t="shared" si="19"/>
        <v>-0.806454801</v>
      </c>
      <c r="L42" s="7">
        <f t="shared" si="19"/>
        <v>-0.4045133664</v>
      </c>
      <c r="M42" s="7">
        <f t="shared" si="19"/>
        <v>0.0735535579</v>
      </c>
      <c r="N42" s="7">
        <f t="shared" si="19"/>
        <v>-0.0615598775</v>
      </c>
      <c r="O42" s="1"/>
      <c r="P42" s="1" t="s">
        <v>12</v>
      </c>
      <c r="Q42" s="7">
        <v>0.3164924670008378</v>
      </c>
      <c r="R42" s="7">
        <v>-0.005946982547168259</v>
      </c>
      <c r="S42" s="7">
        <v>-0.3573714653262538</v>
      </c>
      <c r="T42" s="7">
        <v>0.05422415182703168</v>
      </c>
      <c r="U42" s="7">
        <v>0.17677650736050485</v>
      </c>
      <c r="V42" s="7">
        <v>-0.05695057762293489</v>
      </c>
      <c r="W42" s="7">
        <v>0.8262238615226435</v>
      </c>
      <c r="X42" s="7">
        <v>-0.21567267056902115</v>
      </c>
      <c r="Y42" s="7">
        <v>-0.054740528315700844</v>
      </c>
      <c r="Z42" s="7">
        <v>-0.016466947461283778</v>
      </c>
      <c r="AA42" s="7">
        <v>-0.027805588343130513</v>
      </c>
      <c r="AB42" s="7">
        <v>0.03796409061114652</v>
      </c>
      <c r="AC42" s="7">
        <v>-0.0025589285985487572</v>
      </c>
      <c r="AD42" s="1"/>
      <c r="AE42" s="1"/>
      <c r="AF42" s="1"/>
      <c r="AG42" s="1"/>
      <c r="AH42" s="1"/>
    </row>
    <row r="43" ht="16.5" customHeight="1">
      <c r="A43" s="1" t="s">
        <v>37</v>
      </c>
      <c r="B43" s="7">
        <f t="shared" ref="B43:N43" si="20">(B17-B$22)/B$23</f>
        <v>0.738471355</v>
      </c>
      <c r="C43" s="7">
        <f t="shared" si="20"/>
        <v>-0.4658480453</v>
      </c>
      <c r="D43" s="7">
        <f t="shared" si="20"/>
        <v>2.431990557</v>
      </c>
      <c r="E43" s="7">
        <f t="shared" si="20"/>
        <v>0.5269223198</v>
      </c>
      <c r="F43" s="7">
        <f t="shared" si="20"/>
        <v>0.8893342011</v>
      </c>
      <c r="G43" s="7">
        <f t="shared" si="20"/>
        <v>1.894593062</v>
      </c>
      <c r="H43" s="7">
        <f t="shared" si="20"/>
        <v>2.574272085</v>
      </c>
      <c r="I43" s="7">
        <f t="shared" si="20"/>
        <v>-0.4291191785</v>
      </c>
      <c r="J43" s="7">
        <f t="shared" si="20"/>
        <v>1.310425503</v>
      </c>
      <c r="K43" s="7">
        <f t="shared" si="20"/>
        <v>-0.806454801</v>
      </c>
      <c r="L43" s="7">
        <f t="shared" si="20"/>
        <v>-1.075758254</v>
      </c>
      <c r="M43" s="7">
        <f t="shared" si="20"/>
        <v>0.1706997664</v>
      </c>
      <c r="N43" s="7">
        <f t="shared" si="20"/>
        <v>-0.1996381074</v>
      </c>
      <c r="O43" s="1"/>
      <c r="P43" s="1" t="s">
        <v>13</v>
      </c>
      <c r="Q43" s="7">
        <v>-0.039190655069317314</v>
      </c>
      <c r="R43" s="7">
        <v>0.2688721002632938</v>
      </c>
      <c r="S43" s="7">
        <v>0.557749962640821</v>
      </c>
      <c r="T43" s="7">
        <v>0.1451721814552485</v>
      </c>
      <c r="U43" s="7">
        <v>-0.0707109174147963</v>
      </c>
      <c r="V43" s="7">
        <v>-0.31281653339089033</v>
      </c>
      <c r="W43" s="7">
        <v>0.15756946420212578</v>
      </c>
      <c r="X43" s="7">
        <v>-0.4546806407270454</v>
      </c>
      <c r="Y43" s="7">
        <v>0.13812929988872785</v>
      </c>
      <c r="Z43" s="7">
        <v>0.12720003846115957</v>
      </c>
      <c r="AA43" s="7">
        <v>0.017107815505481266</v>
      </c>
      <c r="AB43" s="7">
        <v>-0.47331646810087497</v>
      </c>
      <c r="AC43" s="7">
        <v>0.003788806746892192</v>
      </c>
      <c r="AD43" s="1"/>
      <c r="AE43" s="1"/>
      <c r="AF43" s="1"/>
      <c r="AG43" s="1"/>
      <c r="AH43" s="1"/>
    </row>
    <row r="44" ht="16.5" customHeight="1">
      <c r="A44" s="1" t="s">
        <v>38</v>
      </c>
      <c r="B44" s="7">
        <f t="shared" ref="B44:N44" si="21">(B18-B$22)/B$23</f>
        <v>-1.8354537</v>
      </c>
      <c r="C44" s="7">
        <f t="shared" si="21"/>
        <v>-1.578320989</v>
      </c>
      <c r="D44" s="7">
        <f t="shared" si="21"/>
        <v>-0.6353849203</v>
      </c>
      <c r="E44" s="7">
        <f t="shared" si="21"/>
        <v>2.079096595</v>
      </c>
      <c r="F44" s="7">
        <f t="shared" si="21"/>
        <v>0.9722558049</v>
      </c>
      <c r="G44" s="7">
        <f t="shared" si="21"/>
        <v>-0.2391233961</v>
      </c>
      <c r="H44" s="7">
        <f t="shared" si="21"/>
        <v>-0.8729173162</v>
      </c>
      <c r="I44" s="7">
        <f t="shared" si="21"/>
        <v>1.296686213</v>
      </c>
      <c r="J44" s="7">
        <f t="shared" si="21"/>
        <v>1.093467638</v>
      </c>
      <c r="K44" s="7">
        <f t="shared" si="21"/>
        <v>-1.036050474</v>
      </c>
      <c r="L44" s="7">
        <f t="shared" si="21"/>
        <v>0.867319052</v>
      </c>
      <c r="M44" s="7">
        <f t="shared" si="21"/>
        <v>2.169136056</v>
      </c>
      <c r="N44" s="7">
        <f t="shared" si="21"/>
        <v>2.078652686</v>
      </c>
      <c r="O44" s="1"/>
      <c r="P44" s="1" t="s">
        <v>14</v>
      </c>
      <c r="Q44" s="7">
        <v>0.2302184744908759</v>
      </c>
      <c r="R44" s="7">
        <v>0.2313947154292186</v>
      </c>
      <c r="S44" s="7">
        <v>0.4707183098896645</v>
      </c>
      <c r="T44" s="7">
        <v>-0.32126456863426106</v>
      </c>
      <c r="U44" s="7">
        <v>0.018537935828820424</v>
      </c>
      <c r="V44" s="7">
        <v>0.04496681510227352</v>
      </c>
      <c r="W44" s="7">
        <v>0.15332861201027756</v>
      </c>
      <c r="X44" s="7">
        <v>0.0891698541207269</v>
      </c>
      <c r="Y44" s="7">
        <v>0.08378896420085531</v>
      </c>
      <c r="Z44" s="7">
        <v>0.1306287735315842</v>
      </c>
      <c r="AA44" s="7">
        <v>0.3459860930531333</v>
      </c>
      <c r="AB44" s="7">
        <v>0.571463701211322</v>
      </c>
      <c r="AC44" s="7">
        <v>-0.25393126687099343</v>
      </c>
      <c r="AD44" s="1"/>
      <c r="AE44" s="1"/>
      <c r="AF44" s="1"/>
      <c r="AG44" s="1"/>
      <c r="AH44" s="1"/>
    </row>
    <row r="45" ht="16.5" customHeight="1">
      <c r="A45" s="1" t="s">
        <v>39</v>
      </c>
      <c r="B45" s="7">
        <f t="shared" ref="B45:N45" si="22">(B19-B$22)/B$23</f>
        <v>-0.732342962</v>
      </c>
      <c r="C45" s="7">
        <f t="shared" si="22"/>
        <v>-0.0486706913</v>
      </c>
      <c r="D45" s="7">
        <f t="shared" si="22"/>
        <v>-0.1971884235</v>
      </c>
      <c r="E45" s="7">
        <f t="shared" si="22"/>
        <v>0.03676202231</v>
      </c>
      <c r="F45" s="7">
        <f t="shared" si="22"/>
        <v>0.1430397666</v>
      </c>
      <c r="G45" s="7">
        <f t="shared" si="22"/>
        <v>0.2023351813</v>
      </c>
      <c r="H45" s="7">
        <f t="shared" si="22"/>
        <v>-0.2057193675</v>
      </c>
      <c r="I45" s="7">
        <f t="shared" si="22"/>
        <v>-0.6623361233</v>
      </c>
      <c r="J45" s="7">
        <f t="shared" si="22"/>
        <v>-0.5120205608</v>
      </c>
      <c r="K45" s="7">
        <f t="shared" si="22"/>
        <v>-1.036050474</v>
      </c>
      <c r="L45" s="7">
        <f t="shared" si="22"/>
        <v>-1.040429576</v>
      </c>
      <c r="M45" s="7">
        <f t="shared" si="22"/>
        <v>-0.2040070379</v>
      </c>
      <c r="N45" s="7">
        <f t="shared" si="22"/>
        <v>-0.5103141247</v>
      </c>
      <c r="O45" s="1"/>
      <c r="P45" s="1" t="s">
        <v>15</v>
      </c>
      <c r="Q45" s="7">
        <v>0.4132645111146708</v>
      </c>
      <c r="R45" s="7">
        <v>-0.11895372572158901</v>
      </c>
      <c r="S45" s="7">
        <v>0.10027051013993046</v>
      </c>
      <c r="T45" s="7">
        <v>0.1559080943366641</v>
      </c>
      <c r="U45" s="7">
        <v>-0.3227320698918431</v>
      </c>
      <c r="V45" s="7">
        <v>-0.011336861568085515</v>
      </c>
      <c r="W45" s="7">
        <v>-0.10903775091733485</v>
      </c>
      <c r="X45" s="7">
        <v>-0.068515320403995</v>
      </c>
      <c r="Y45" s="7">
        <v>-0.1642233350163824</v>
      </c>
      <c r="Z45" s="7">
        <v>-0.23658019658090929</v>
      </c>
      <c r="AA45" s="7">
        <v>-0.4498801013479121</v>
      </c>
      <c r="AB45" s="7">
        <v>0.01674836224795284</v>
      </c>
      <c r="AC45" s="7">
        <v>-0.6117358464890474</v>
      </c>
      <c r="AD45" s="1"/>
      <c r="AE45" s="1"/>
      <c r="AF45" s="1"/>
      <c r="AG45" s="1"/>
      <c r="AH45" s="1"/>
    </row>
    <row r="46" ht="16.5" customHeight="1">
      <c r="A46" s="1" t="s">
        <v>40</v>
      </c>
      <c r="B46" s="7">
        <f t="shared" ref="B46:N46" si="23">(B20-B$22)/B$23</f>
        <v>-0.242071523</v>
      </c>
      <c r="C46" s="7">
        <f t="shared" si="23"/>
        <v>1.202861371</v>
      </c>
      <c r="D46" s="7">
        <f t="shared" si="23"/>
        <v>-1.073581417</v>
      </c>
      <c r="E46" s="7">
        <f t="shared" si="23"/>
        <v>0.8536958515</v>
      </c>
      <c r="F46" s="7">
        <f t="shared" si="23"/>
        <v>1.428324626</v>
      </c>
      <c r="G46" s="7">
        <f t="shared" si="23"/>
        <v>-0.1655469665</v>
      </c>
      <c r="H46" s="7">
        <f t="shared" si="23"/>
        <v>-0.7617176581</v>
      </c>
      <c r="I46" s="7">
        <f t="shared" si="23"/>
        <v>0.5037486009</v>
      </c>
      <c r="J46" s="7">
        <f t="shared" si="23"/>
        <v>1.093467638</v>
      </c>
      <c r="K46" s="7">
        <f t="shared" si="23"/>
        <v>-1.093449392</v>
      </c>
      <c r="L46" s="7">
        <f t="shared" si="23"/>
        <v>-0.227869975</v>
      </c>
      <c r="M46" s="7">
        <f t="shared" si="23"/>
        <v>0.5731626304</v>
      </c>
      <c r="N46" s="7">
        <f t="shared" si="23"/>
        <v>0.3987008888</v>
      </c>
      <c r="O46" s="1"/>
      <c r="P46" s="1" t="s">
        <v>16</v>
      </c>
      <c r="Q46" s="7">
        <v>0.4170726568837837</v>
      </c>
      <c r="R46" s="7">
        <v>-0.02343378307947019</v>
      </c>
      <c r="S46" s="7">
        <v>0.23488164769274952</v>
      </c>
      <c r="T46" s="7">
        <v>0.024738725176604574</v>
      </c>
      <c r="U46" s="7">
        <v>-0.2616693317545061</v>
      </c>
      <c r="V46" s="7">
        <v>0.0023689303938529203</v>
      </c>
      <c r="W46" s="7">
        <v>-0.03731473653589093</v>
      </c>
      <c r="X46" s="7">
        <v>-0.03000127983159913</v>
      </c>
      <c r="Y46" s="7">
        <v>-0.10739653318424092</v>
      </c>
      <c r="Z46" s="7">
        <v>-0.16600490210834076</v>
      </c>
      <c r="AA46" s="7">
        <v>-0.2324269999757656</v>
      </c>
      <c r="AB46" s="7">
        <v>0.21208734504397317</v>
      </c>
      <c r="AC46" s="7">
        <v>0.7489031654816228</v>
      </c>
      <c r="AD46" s="1"/>
      <c r="AE46" s="1"/>
      <c r="AF46" s="1"/>
      <c r="AG46" s="1"/>
      <c r="AH46" s="1"/>
    </row>
    <row r="47" ht="16.5" customHeight="1">
      <c r="A47" s="1" t="s">
        <v>41</v>
      </c>
      <c r="B47" s="7">
        <f t="shared" ref="B47:N47" si="24">(B21-B$22)/B$23</f>
        <v>0.1256320562</v>
      </c>
      <c r="C47" s="7">
        <f t="shared" si="24"/>
        <v>0.0903884267</v>
      </c>
      <c r="D47" s="7">
        <f t="shared" si="24"/>
        <v>-0.6353849203</v>
      </c>
      <c r="E47" s="7">
        <f t="shared" si="24"/>
        <v>-0.04493136061</v>
      </c>
      <c r="F47" s="7">
        <f t="shared" si="24"/>
        <v>0.6405693896</v>
      </c>
      <c r="G47" s="7">
        <f t="shared" si="24"/>
        <v>-0.1655469665</v>
      </c>
      <c r="H47" s="7">
        <f t="shared" si="24"/>
        <v>-0.9841169743</v>
      </c>
      <c r="I47" s="7">
        <f t="shared" si="24"/>
        <v>-0.9421964572</v>
      </c>
      <c r="J47" s="7">
        <f t="shared" si="24"/>
        <v>0.1388530334</v>
      </c>
      <c r="K47" s="7">
        <f t="shared" si="24"/>
        <v>-1.265646147</v>
      </c>
      <c r="L47" s="7">
        <f t="shared" si="24"/>
        <v>-1.605688428</v>
      </c>
      <c r="M47" s="7">
        <f t="shared" si="24"/>
        <v>-0.6203479317</v>
      </c>
      <c r="N47" s="7">
        <f t="shared" si="24"/>
        <v>-1.039614006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ht="16.5" customHeight="1">
      <c r="A48" s="1" t="s">
        <v>42</v>
      </c>
      <c r="B48" s="7">
        <f t="shared" ref="B48:N48" si="25">AVERAGE(B28:B47)</f>
        <v>0</v>
      </c>
      <c r="C48" s="7">
        <f t="shared" si="25"/>
        <v>0</v>
      </c>
      <c r="D48" s="7">
        <f t="shared" si="25"/>
        <v>0</v>
      </c>
      <c r="E48" s="7">
        <f t="shared" si="25"/>
        <v>0</v>
      </c>
      <c r="F48" s="7">
        <f t="shared" si="25"/>
        <v>0</v>
      </c>
      <c r="G48" s="7">
        <f t="shared" si="25"/>
        <v>0</v>
      </c>
      <c r="H48" s="7">
        <f t="shared" si="25"/>
        <v>0</v>
      </c>
      <c r="I48" s="7">
        <f t="shared" si="25"/>
        <v>0</v>
      </c>
      <c r="J48" s="7">
        <f t="shared" si="25"/>
        <v>0</v>
      </c>
      <c r="K48" s="7">
        <f t="shared" si="25"/>
        <v>0</v>
      </c>
      <c r="L48" s="7">
        <f t="shared" si="25"/>
        <v>0</v>
      </c>
      <c r="M48" s="7">
        <f t="shared" si="25"/>
        <v>0</v>
      </c>
      <c r="N48" s="7">
        <f t="shared" si="25"/>
        <v>0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ht="16.5" customHeight="1">
      <c r="A49" s="1" t="s">
        <v>43</v>
      </c>
      <c r="B49" s="7">
        <f t="shared" ref="B49:N49" si="26">STDEV.S(B28:B47)</f>
        <v>1</v>
      </c>
      <c r="C49" s="7">
        <f t="shared" si="26"/>
        <v>1</v>
      </c>
      <c r="D49" s="7">
        <f t="shared" si="26"/>
        <v>1</v>
      </c>
      <c r="E49" s="7">
        <f t="shared" si="26"/>
        <v>1</v>
      </c>
      <c r="F49" s="7">
        <f t="shared" si="26"/>
        <v>1</v>
      </c>
      <c r="G49" s="7">
        <f t="shared" si="26"/>
        <v>1</v>
      </c>
      <c r="H49" s="7">
        <f t="shared" si="26"/>
        <v>1</v>
      </c>
      <c r="I49" s="7">
        <f t="shared" si="26"/>
        <v>1</v>
      </c>
      <c r="J49" s="7">
        <f t="shared" si="26"/>
        <v>1</v>
      </c>
      <c r="K49" s="7">
        <f t="shared" si="26"/>
        <v>1</v>
      </c>
      <c r="L49" s="7">
        <f t="shared" si="26"/>
        <v>1</v>
      </c>
      <c r="M49" s="7">
        <f t="shared" si="26"/>
        <v>1</v>
      </c>
      <c r="N49" s="7">
        <f t="shared" si="26"/>
        <v>1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ht="16.5" customHeight="1">
      <c r="A51" s="3" t="s">
        <v>58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5"/>
      <c r="O51" s="1"/>
      <c r="P51" s="3" t="s">
        <v>59</v>
      </c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5"/>
      <c r="AD51" s="1"/>
      <c r="AE51" s="1"/>
      <c r="AF51" s="1"/>
      <c r="AG51" s="1"/>
      <c r="AH51" s="1"/>
    </row>
    <row r="52" ht="16.5" customHeight="1">
      <c r="A52" s="1"/>
      <c r="B52" s="1" t="s">
        <v>4</v>
      </c>
      <c r="C52" s="1" t="s">
        <v>5</v>
      </c>
      <c r="D52" s="1" t="s">
        <v>6</v>
      </c>
      <c r="E52" s="1" t="s">
        <v>7</v>
      </c>
      <c r="F52" s="1" t="s">
        <v>8</v>
      </c>
      <c r="G52" s="1" t="s">
        <v>9</v>
      </c>
      <c r="H52" s="1" t="s">
        <v>10</v>
      </c>
      <c r="I52" s="1" t="s">
        <v>11</v>
      </c>
      <c r="J52" s="1" t="s">
        <v>12</v>
      </c>
      <c r="K52" s="1" t="s">
        <v>13</v>
      </c>
      <c r="L52" s="1" t="s">
        <v>14</v>
      </c>
      <c r="M52" s="1" t="s">
        <v>15</v>
      </c>
      <c r="N52" s="1" t="s">
        <v>16</v>
      </c>
      <c r="O52" s="1"/>
      <c r="P52" s="1"/>
      <c r="Q52" s="1" t="s">
        <v>19</v>
      </c>
      <c r="R52" s="1" t="s">
        <v>20</v>
      </c>
      <c r="S52" s="1" t="s">
        <v>21</v>
      </c>
      <c r="T52" s="1" t="s">
        <v>45</v>
      </c>
      <c r="U52" s="1" t="s">
        <v>46</v>
      </c>
      <c r="V52" s="1" t="s">
        <v>47</v>
      </c>
      <c r="W52" s="1" t="s">
        <v>48</v>
      </c>
      <c r="X52" s="1" t="s">
        <v>49</v>
      </c>
      <c r="Y52" s="1" t="s">
        <v>50</v>
      </c>
      <c r="Z52" s="1" t="s">
        <v>51</v>
      </c>
      <c r="AA52" s="1" t="s">
        <v>52</v>
      </c>
      <c r="AB52" s="1" t="s">
        <v>53</v>
      </c>
      <c r="AC52" s="1" t="s">
        <v>54</v>
      </c>
      <c r="AD52" s="1"/>
      <c r="AE52" s="1"/>
      <c r="AF52" s="1"/>
      <c r="AG52" s="1"/>
      <c r="AH52" s="1"/>
    </row>
    <row r="53" ht="16.5" customHeight="1">
      <c r="A53" s="1" t="s">
        <v>4</v>
      </c>
      <c r="B53" s="7">
        <f t="shared" ref="B53:N53" si="27">CORREL($B$28:$B$47,B28:B47)</f>
        <v>1</v>
      </c>
      <c r="C53" s="7">
        <f t="shared" si="27"/>
        <v>0.4145996413</v>
      </c>
      <c r="D53" s="7">
        <f t="shared" si="27"/>
        <v>0.3483298796</v>
      </c>
      <c r="E53" s="7">
        <f t="shared" si="27"/>
        <v>-0.1047278982</v>
      </c>
      <c r="F53" s="7">
        <f t="shared" si="27"/>
        <v>0.1137445384</v>
      </c>
      <c r="G53" s="7">
        <f t="shared" si="27"/>
        <v>0.5534862251</v>
      </c>
      <c r="H53" s="7">
        <f t="shared" si="27"/>
        <v>0.426047538</v>
      </c>
      <c r="I53" s="7">
        <f t="shared" si="27"/>
        <v>0.4012718423</v>
      </c>
      <c r="J53" s="7">
        <f t="shared" si="27"/>
        <v>0.2267043191</v>
      </c>
      <c r="K53" s="7">
        <f t="shared" si="27"/>
        <v>0.2082900563</v>
      </c>
      <c r="L53" s="7">
        <f t="shared" si="27"/>
        <v>0.2428821202</v>
      </c>
      <c r="M53" s="7">
        <f t="shared" si="27"/>
        <v>-0.1707401542</v>
      </c>
      <c r="N53" s="7">
        <f t="shared" si="27"/>
        <v>-0.06211573275</v>
      </c>
      <c r="O53" s="1"/>
      <c r="P53" s="1" t="s">
        <v>17</v>
      </c>
      <c r="Q53" s="7">
        <f t="array" ref="Q53:AC72">MMULT(B28:N49,Q34:AC46)</f>
        <v>-2.108940088</v>
      </c>
      <c r="R53" s="7">
        <v>0.8138555576408038</v>
      </c>
      <c r="S53" s="7">
        <v>2.666380064544109</v>
      </c>
      <c r="T53" s="7">
        <v>0.6795120811163744</v>
      </c>
      <c r="U53" s="7">
        <v>0.6395685614563166</v>
      </c>
      <c r="V53" s="7">
        <v>-0.3658021352950837</v>
      </c>
      <c r="W53" s="7">
        <v>-0.5661544554546094</v>
      </c>
      <c r="X53" s="7">
        <v>-0.46588460824362266</v>
      </c>
      <c r="Y53" s="7">
        <v>-0.16012213281095025</v>
      </c>
      <c r="Z53" s="7">
        <v>0.15990338961455108</v>
      </c>
      <c r="AA53" s="7">
        <v>-0.02795725032323408</v>
      </c>
      <c r="AB53" s="7">
        <v>0.028268154086849573</v>
      </c>
      <c r="AC53" s="7">
        <v>0.0023906785025823996</v>
      </c>
      <c r="AD53" s="1"/>
      <c r="AE53" s="1"/>
      <c r="AF53" s="1"/>
      <c r="AG53" s="1"/>
      <c r="AH53" s="1"/>
    </row>
    <row r="54" ht="16.5" customHeight="1">
      <c r="A54" s="1" t="s">
        <v>5</v>
      </c>
      <c r="B54" s="7">
        <f t="shared" ref="B54:N54" si="28">CORREL($C$28:$C$47,B28:B47)</f>
        <v>0.4145996413</v>
      </c>
      <c r="C54" s="7">
        <f t="shared" si="28"/>
        <v>1</v>
      </c>
      <c r="D54" s="7">
        <f t="shared" si="28"/>
        <v>0.01555451626</v>
      </c>
      <c r="E54" s="7">
        <f t="shared" si="28"/>
        <v>-0.07584434789</v>
      </c>
      <c r="F54" s="7">
        <f t="shared" si="28"/>
        <v>0.07014189018</v>
      </c>
      <c r="G54" s="7">
        <f t="shared" si="28"/>
        <v>0.4557044404</v>
      </c>
      <c r="H54" s="7">
        <f t="shared" si="28"/>
        <v>0.2775667085</v>
      </c>
      <c r="I54" s="7">
        <f t="shared" si="28"/>
        <v>0.120370004</v>
      </c>
      <c r="J54" s="7">
        <f t="shared" si="28"/>
        <v>0.1166783866</v>
      </c>
      <c r="K54" s="7">
        <f t="shared" si="28"/>
        <v>0.3997853071</v>
      </c>
      <c r="L54" s="7">
        <f t="shared" si="28"/>
        <v>0.2696466971</v>
      </c>
      <c r="M54" s="7">
        <f t="shared" si="28"/>
        <v>0.1512507541</v>
      </c>
      <c r="N54" s="7">
        <f t="shared" si="28"/>
        <v>0.2119314444</v>
      </c>
      <c r="O54" s="1"/>
      <c r="P54" s="1" t="s">
        <v>18</v>
      </c>
      <c r="Q54" s="7">
        <v>0.38332507825358975</v>
      </c>
      <c r="R54" s="7">
        <v>1.6866793017593127</v>
      </c>
      <c r="S54" s="7">
        <v>1.9344232401348942</v>
      </c>
      <c r="T54" s="7">
        <v>1.5871956130827993</v>
      </c>
      <c r="U54" s="7">
        <v>-0.6629369788848979</v>
      </c>
      <c r="V54" s="7">
        <v>-0.7604098000854118</v>
      </c>
      <c r="W54" s="7">
        <v>-0.2112040171231529</v>
      </c>
      <c r="X54" s="7">
        <v>0.19841714263432347</v>
      </c>
      <c r="Y54" s="7">
        <v>-0.09059841420203396</v>
      </c>
      <c r="Z54" s="7">
        <v>-0.4427834126128508</v>
      </c>
      <c r="AA54" s="7">
        <v>1.1872882411589902E-4</v>
      </c>
      <c r="AB54" s="7">
        <v>0.013360221495654356</v>
      </c>
      <c r="AC54" s="7">
        <v>-0.004198079313929348</v>
      </c>
      <c r="AD54" s="1"/>
      <c r="AE54" s="1"/>
      <c r="AF54" s="1"/>
      <c r="AG54" s="1"/>
      <c r="AH54" s="1"/>
    </row>
    <row r="55" ht="16.5" customHeight="1">
      <c r="A55" s="1" t="s">
        <v>6</v>
      </c>
      <c r="B55" s="7">
        <f t="shared" ref="B55:N55" si="29">CORREL($D$28:$D$47,B28:B47)</f>
        <v>0.3483298796</v>
      </c>
      <c r="C55" s="7">
        <f t="shared" si="29"/>
        <v>0.01555451626</v>
      </c>
      <c r="D55" s="7">
        <f t="shared" si="29"/>
        <v>1</v>
      </c>
      <c r="E55" s="7">
        <f t="shared" si="29"/>
        <v>-0.3710719837</v>
      </c>
      <c r="F55" s="7">
        <f t="shared" si="29"/>
        <v>-0.3480124026</v>
      </c>
      <c r="G55" s="7">
        <f t="shared" si="29"/>
        <v>0.6342131034</v>
      </c>
      <c r="H55" s="7">
        <f t="shared" si="29"/>
        <v>0.6676922483</v>
      </c>
      <c r="I55" s="7">
        <f t="shared" si="29"/>
        <v>0.0959555838</v>
      </c>
      <c r="J55" s="7">
        <f t="shared" si="29"/>
        <v>-0.02521861518</v>
      </c>
      <c r="K55" s="7">
        <f t="shared" si="29"/>
        <v>0.01264219193</v>
      </c>
      <c r="L55" s="7">
        <f t="shared" si="29"/>
        <v>0.01869930133</v>
      </c>
      <c r="M55" s="7">
        <f t="shared" si="29"/>
        <v>-0.3444898703</v>
      </c>
      <c r="N55" s="7">
        <f t="shared" si="29"/>
        <v>-0.2784177056</v>
      </c>
      <c r="O55" s="1"/>
      <c r="P55" s="1" t="s">
        <v>24</v>
      </c>
      <c r="Q55" s="7">
        <v>-2.291820767830494</v>
      </c>
      <c r="R55" s="7">
        <v>0.7551845536836476</v>
      </c>
      <c r="S55" s="7">
        <v>2.409748920154042</v>
      </c>
      <c r="T55" s="7">
        <v>-1.1034332544620375</v>
      </c>
      <c r="U55" s="7">
        <v>-1.440619392107017</v>
      </c>
      <c r="V55" s="7">
        <v>0.3790454970154131</v>
      </c>
      <c r="W55" s="7">
        <v>0.7435833937570587</v>
      </c>
      <c r="X55" s="7">
        <v>-0.011283012608969523</v>
      </c>
      <c r="Y55" s="7">
        <v>0.3268823962260916</v>
      </c>
      <c r="Z55" s="7">
        <v>0.30220715258663267</v>
      </c>
      <c r="AA55" s="7">
        <v>0.13740898225900783</v>
      </c>
      <c r="AB55" s="7">
        <v>0.01383337161402827</v>
      </c>
      <c r="AC55" s="7">
        <v>-0.0012977880448526158</v>
      </c>
      <c r="AD55" s="1"/>
      <c r="AE55" s="1"/>
      <c r="AF55" s="1"/>
      <c r="AG55" s="1"/>
      <c r="AH55" s="1"/>
    </row>
    <row r="56" ht="16.5" customHeight="1">
      <c r="A56" s="1" t="s">
        <v>7</v>
      </c>
      <c r="B56" s="7">
        <f t="shared" ref="B56:N56" si="30">CORREL($E$28:$E$47,B28:B47)</f>
        <v>-0.1047278982</v>
      </c>
      <c r="C56" s="7">
        <f t="shared" si="30"/>
        <v>-0.07584434789</v>
      </c>
      <c r="D56" s="7">
        <f t="shared" si="30"/>
        <v>-0.3710719837</v>
      </c>
      <c r="E56" s="7">
        <f t="shared" si="30"/>
        <v>1</v>
      </c>
      <c r="F56" s="7">
        <f t="shared" si="30"/>
        <v>0.8742124978</v>
      </c>
      <c r="G56" s="7">
        <f t="shared" si="30"/>
        <v>0.2095047894</v>
      </c>
      <c r="H56" s="7">
        <f t="shared" si="30"/>
        <v>-0.147906361</v>
      </c>
      <c r="I56" s="7">
        <f t="shared" si="30"/>
        <v>0.4323463975</v>
      </c>
      <c r="J56" s="7">
        <f t="shared" si="30"/>
        <v>0.6326916121</v>
      </c>
      <c r="K56" s="7">
        <f t="shared" si="30"/>
        <v>-0.3708223654</v>
      </c>
      <c r="L56" s="7">
        <f t="shared" si="30"/>
        <v>0.1371742096</v>
      </c>
      <c r="M56" s="7">
        <f t="shared" si="30"/>
        <v>0.9019404537</v>
      </c>
      <c r="N56" s="7">
        <f t="shared" si="30"/>
        <v>0.7921360359</v>
      </c>
      <c r="O56" s="1"/>
      <c r="P56" s="1" t="s">
        <v>25</v>
      </c>
      <c r="Q56" s="7">
        <v>1.859846604007309</v>
      </c>
      <c r="R56" s="7">
        <v>1.3700549388439944</v>
      </c>
      <c r="S56" s="7">
        <v>0.10194892328287737</v>
      </c>
      <c r="T56" s="7">
        <v>1.687418052356373</v>
      </c>
      <c r="U56" s="7">
        <v>0.01260651578833566</v>
      </c>
      <c r="V56" s="7">
        <v>0.013929978754023934</v>
      </c>
      <c r="W56" s="7">
        <v>0.9973517469118314</v>
      </c>
      <c r="X56" s="7">
        <v>-0.0883453517733572</v>
      </c>
      <c r="Y56" s="7">
        <v>0.01022663610694631</v>
      </c>
      <c r="Z56" s="7">
        <v>-0.005381888401645635</v>
      </c>
      <c r="AA56" s="7">
        <v>-0.024635312747468524</v>
      </c>
      <c r="AB56" s="7">
        <v>0.09801145975683564</v>
      </c>
      <c r="AC56" s="7">
        <v>0.004908684406654262</v>
      </c>
      <c r="AD56" s="1"/>
      <c r="AE56" s="1"/>
      <c r="AF56" s="1"/>
      <c r="AG56" s="1"/>
      <c r="AH56" s="1"/>
    </row>
    <row r="57" ht="16.5" customHeight="1">
      <c r="A57" s="1" t="s">
        <v>8</v>
      </c>
      <c r="B57" s="7">
        <f t="shared" ref="B57:N57" si="31">CORREL($F$28:$F$47,B28:B47)</f>
        <v>0.1137445384</v>
      </c>
      <c r="C57" s="7">
        <f t="shared" si="31"/>
        <v>0.07014189018</v>
      </c>
      <c r="D57" s="7">
        <f t="shared" si="31"/>
        <v>-0.3480124026</v>
      </c>
      <c r="E57" s="7">
        <f t="shared" si="31"/>
        <v>0.8742124978</v>
      </c>
      <c r="F57" s="7">
        <f t="shared" si="31"/>
        <v>1</v>
      </c>
      <c r="G57" s="7">
        <f t="shared" si="31"/>
        <v>0.2403904042</v>
      </c>
      <c r="H57" s="7">
        <f t="shared" si="31"/>
        <v>-0.1779503494</v>
      </c>
      <c r="I57" s="7">
        <f t="shared" si="31"/>
        <v>0.4710302252</v>
      </c>
      <c r="J57" s="7">
        <f t="shared" si="31"/>
        <v>0.6792074334</v>
      </c>
      <c r="K57" s="7">
        <f t="shared" si="31"/>
        <v>-0.3891044093</v>
      </c>
      <c r="L57" s="7">
        <f t="shared" si="31"/>
        <v>0.08734952787</v>
      </c>
      <c r="M57" s="7">
        <f t="shared" si="31"/>
        <v>0.7201906915</v>
      </c>
      <c r="N57" s="7">
        <f t="shared" si="31"/>
        <v>0.6251656979</v>
      </c>
      <c r="O57" s="1"/>
      <c r="P57" s="1" t="s">
        <v>26</v>
      </c>
      <c r="Q57" s="7">
        <v>-0.28735936967613196</v>
      </c>
      <c r="R57" s="7">
        <v>0.040536999343685626</v>
      </c>
      <c r="S57" s="7">
        <v>0.7462442695574389</v>
      </c>
      <c r="T57" s="7">
        <v>-1.3304270578357582</v>
      </c>
      <c r="U57" s="7">
        <v>1.0789090034339657</v>
      </c>
      <c r="V57" s="7">
        <v>-0.6211980549873486</v>
      </c>
      <c r="W57" s="7">
        <v>0.5403587318428331</v>
      </c>
      <c r="X57" s="7">
        <v>-0.1781204793425472</v>
      </c>
      <c r="Y57" s="7">
        <v>0.2273564807539181</v>
      </c>
      <c r="Z57" s="7">
        <v>0.138984870458952</v>
      </c>
      <c r="AA57" s="7">
        <v>-0.08355281569549881</v>
      </c>
      <c r="AB57" s="7">
        <v>0.012531158029494241</v>
      </c>
      <c r="AC57" s="7">
        <v>-9.918658149336568E-4</v>
      </c>
      <c r="AD57" s="1"/>
      <c r="AE57" s="1"/>
      <c r="AF57" s="1"/>
      <c r="AG57" s="1"/>
      <c r="AH57" s="1"/>
    </row>
    <row r="58" ht="16.5" customHeight="1">
      <c r="A58" s="1" t="s">
        <v>9</v>
      </c>
      <c r="B58" s="7">
        <f t="shared" ref="B58:N58" si="32">CORREL($G$28:$G$47,B28:B47)</f>
        <v>0.5534862251</v>
      </c>
      <c r="C58" s="7">
        <f t="shared" si="32"/>
        <v>0.4557044404</v>
      </c>
      <c r="D58" s="7">
        <f t="shared" si="32"/>
        <v>0.6342131034</v>
      </c>
      <c r="E58" s="7">
        <f t="shared" si="32"/>
        <v>0.2095047894</v>
      </c>
      <c r="F58" s="7">
        <f t="shared" si="32"/>
        <v>0.2403904042</v>
      </c>
      <c r="G58" s="7">
        <f t="shared" si="32"/>
        <v>1</v>
      </c>
      <c r="H58" s="7">
        <f t="shared" si="32"/>
        <v>0.6225607851</v>
      </c>
      <c r="I58" s="7">
        <f t="shared" si="32"/>
        <v>0.4526434833</v>
      </c>
      <c r="J58" s="7">
        <f t="shared" si="32"/>
        <v>0.4264637482</v>
      </c>
      <c r="K58" s="7">
        <f t="shared" si="32"/>
        <v>-0.02161615399</v>
      </c>
      <c r="L58" s="7">
        <f t="shared" si="32"/>
        <v>0.2484097004</v>
      </c>
      <c r="M58" s="7">
        <f t="shared" si="32"/>
        <v>0.2555695508</v>
      </c>
      <c r="N58" s="7">
        <f t="shared" si="32"/>
        <v>0.291912872</v>
      </c>
      <c r="O58" s="1"/>
      <c r="P58" s="1" t="s">
        <v>27</v>
      </c>
      <c r="Q58" s="7">
        <v>2.7074551200332726</v>
      </c>
      <c r="R58" s="7">
        <v>0.8474491932506552</v>
      </c>
      <c r="S58" s="7">
        <v>1.3563561733852758</v>
      </c>
      <c r="T58" s="7">
        <v>-0.9168189829872212</v>
      </c>
      <c r="U58" s="7">
        <v>1.1050261217712152</v>
      </c>
      <c r="V58" s="7">
        <v>0.8504758423906464</v>
      </c>
      <c r="W58" s="7">
        <v>-0.5302104017310233</v>
      </c>
      <c r="X58" s="7">
        <v>-0.08060748935604684</v>
      </c>
      <c r="Y58" s="7">
        <v>0.6651326996163957</v>
      </c>
      <c r="Z58" s="7">
        <v>-0.27179750307075506</v>
      </c>
      <c r="AA58" s="7">
        <v>-0.022286971655770316</v>
      </c>
      <c r="AB58" s="7">
        <v>-0.0957233716445696</v>
      </c>
      <c r="AC58" s="7">
        <v>0.0022944851121387</v>
      </c>
      <c r="AD58" s="1"/>
      <c r="AE58" s="1"/>
      <c r="AF58" s="1"/>
      <c r="AG58" s="1"/>
      <c r="AH58" s="1"/>
    </row>
    <row r="59" ht="16.5" customHeight="1">
      <c r="A59" s="1" t="s">
        <v>10</v>
      </c>
      <c r="B59" s="7">
        <f t="shared" ref="B59:N59" si="33">CORREL($H$28:$H$47,B28:B47)</f>
        <v>0.426047538</v>
      </c>
      <c r="C59" s="7">
        <f t="shared" si="33"/>
        <v>0.2775667085</v>
      </c>
      <c r="D59" s="7">
        <f t="shared" si="33"/>
        <v>0.6676922483</v>
      </c>
      <c r="E59" s="7">
        <f t="shared" si="33"/>
        <v>-0.147906361</v>
      </c>
      <c r="F59" s="7">
        <f t="shared" si="33"/>
        <v>-0.1779503494</v>
      </c>
      <c r="G59" s="7">
        <f t="shared" si="33"/>
        <v>0.6225607851</v>
      </c>
      <c r="H59" s="7">
        <f t="shared" si="33"/>
        <v>1</v>
      </c>
      <c r="I59" s="7">
        <f t="shared" si="33"/>
        <v>-0.02112909565</v>
      </c>
      <c r="J59" s="7">
        <f t="shared" si="33"/>
        <v>0.1075241699</v>
      </c>
      <c r="K59" s="7">
        <f t="shared" si="33"/>
        <v>0.2029543379</v>
      </c>
      <c r="L59" s="7">
        <f t="shared" si="33"/>
        <v>0.04514716013</v>
      </c>
      <c r="M59" s="7">
        <f t="shared" si="33"/>
        <v>-0.05294910792</v>
      </c>
      <c r="N59" s="7">
        <f t="shared" si="33"/>
        <v>-0.02821343797</v>
      </c>
      <c r="O59" s="1"/>
      <c r="P59" s="1" t="s">
        <v>28</v>
      </c>
      <c r="Q59" s="7">
        <v>3.4546833884238617</v>
      </c>
      <c r="R59" s="7">
        <v>0.8241506561107579</v>
      </c>
      <c r="S59" s="7">
        <v>-0.0723149271994925</v>
      </c>
      <c r="T59" s="7">
        <v>-0.015948051736742123</v>
      </c>
      <c r="U59" s="7">
        <v>0.9581313988796287</v>
      </c>
      <c r="V59" s="7">
        <v>0.07719252202973279</v>
      </c>
      <c r="W59" s="7">
        <v>0.3876534953813909</v>
      </c>
      <c r="X59" s="7">
        <v>-0.7829180276536105</v>
      </c>
      <c r="Y59" s="7">
        <v>-0.46265305692992753</v>
      </c>
      <c r="Z59" s="7">
        <v>0.11030346742986274</v>
      </c>
      <c r="AA59" s="7">
        <v>0.05828469939427855</v>
      </c>
      <c r="AB59" s="7">
        <v>-0.04583389826911338</v>
      </c>
      <c r="AC59" s="7">
        <v>-0.0015017451836984996</v>
      </c>
      <c r="AD59" s="1"/>
      <c r="AE59" s="1"/>
      <c r="AF59" s="1"/>
      <c r="AG59" s="1"/>
      <c r="AH59" s="1"/>
    </row>
    <row r="60" ht="16.5" customHeight="1">
      <c r="A60" s="1" t="s">
        <v>11</v>
      </c>
      <c r="B60" s="7">
        <f t="shared" ref="B60:N60" si="34">CORREL($I$28:$I$47,B28:B47)</f>
        <v>0.4012718423</v>
      </c>
      <c r="C60" s="7">
        <f t="shared" si="34"/>
        <v>0.120370004</v>
      </c>
      <c r="D60" s="7">
        <f t="shared" si="34"/>
        <v>0.0959555838</v>
      </c>
      <c r="E60" s="7">
        <f t="shared" si="34"/>
        <v>0.4323463975</v>
      </c>
      <c r="F60" s="7">
        <f t="shared" si="34"/>
        <v>0.4710302252</v>
      </c>
      <c r="G60" s="7">
        <f t="shared" si="34"/>
        <v>0.4526434833</v>
      </c>
      <c r="H60" s="7">
        <f t="shared" si="34"/>
        <v>-0.02112909565</v>
      </c>
      <c r="I60" s="7">
        <f t="shared" si="34"/>
        <v>1</v>
      </c>
      <c r="J60" s="7">
        <f t="shared" si="34"/>
        <v>0.4306496982</v>
      </c>
      <c r="K60" s="7">
        <f t="shared" si="34"/>
        <v>0.03886283384</v>
      </c>
      <c r="L60" s="7">
        <f t="shared" si="34"/>
        <v>0.7480541915</v>
      </c>
      <c r="M60" s="7">
        <f t="shared" si="34"/>
        <v>0.4288041112</v>
      </c>
      <c r="N60" s="7">
        <f t="shared" si="34"/>
        <v>0.5974804319</v>
      </c>
      <c r="O60" s="1"/>
      <c r="P60" s="1" t="s">
        <v>29</v>
      </c>
      <c r="Q60" s="7">
        <v>2.2459951388570993</v>
      </c>
      <c r="R60" s="7">
        <v>-0.835669639974048</v>
      </c>
      <c r="S60" s="7">
        <v>1.0389382092763029</v>
      </c>
      <c r="T60" s="7">
        <v>0.6376873875870466</v>
      </c>
      <c r="U60" s="7">
        <v>-1.6383000039112536</v>
      </c>
      <c r="V60" s="7">
        <v>0.06170653227910831</v>
      </c>
      <c r="W60" s="7">
        <v>-1.1821181828546092</v>
      </c>
      <c r="X60" s="7">
        <v>0.050205785012977164</v>
      </c>
      <c r="Y60" s="7">
        <v>-0.05377108050991852</v>
      </c>
      <c r="Z60" s="7">
        <v>0.2932742648010901</v>
      </c>
      <c r="AA60" s="7">
        <v>-0.056175030101129564</v>
      </c>
      <c r="AB60" s="7">
        <v>-0.017815261795542048</v>
      </c>
      <c r="AC60" s="7">
        <v>-0.0013739773775320874</v>
      </c>
      <c r="AD60" s="1"/>
      <c r="AE60" s="1"/>
      <c r="AF60" s="1"/>
      <c r="AG60" s="1"/>
      <c r="AH60" s="1"/>
    </row>
    <row r="61" ht="16.5" customHeight="1">
      <c r="A61" s="1" t="s">
        <v>12</v>
      </c>
      <c r="B61" s="7">
        <f t="shared" ref="B61:N61" si="35">CORREL($J$28:$J$47,B28:B47)</f>
        <v>0.2267043191</v>
      </c>
      <c r="C61" s="7">
        <f t="shared" si="35"/>
        <v>0.1166783866</v>
      </c>
      <c r="D61" s="7">
        <f t="shared" si="35"/>
        <v>-0.02521861518</v>
      </c>
      <c r="E61" s="7">
        <f t="shared" si="35"/>
        <v>0.6326916121</v>
      </c>
      <c r="F61" s="7">
        <f t="shared" si="35"/>
        <v>0.6792074334</v>
      </c>
      <c r="G61" s="7">
        <f t="shared" si="35"/>
        <v>0.4264637482</v>
      </c>
      <c r="H61" s="7">
        <f t="shared" si="35"/>
        <v>0.1075241699</v>
      </c>
      <c r="I61" s="7">
        <f t="shared" si="35"/>
        <v>0.4306496982</v>
      </c>
      <c r="J61" s="7">
        <f t="shared" si="35"/>
        <v>1</v>
      </c>
      <c r="K61" s="7">
        <f t="shared" si="35"/>
        <v>-0.4208901425</v>
      </c>
      <c r="L61" s="7">
        <f t="shared" si="35"/>
        <v>0.005470271435</v>
      </c>
      <c r="M61" s="7">
        <f t="shared" si="35"/>
        <v>0.4660566726</v>
      </c>
      <c r="N61" s="7">
        <f t="shared" si="35"/>
        <v>0.389532399</v>
      </c>
      <c r="O61" s="1"/>
      <c r="P61" s="1" t="s">
        <v>30</v>
      </c>
      <c r="Q61" s="7">
        <v>0.9780142965178248</v>
      </c>
      <c r="R61" s="7">
        <v>3.005368309947927</v>
      </c>
      <c r="S61" s="7">
        <v>-0.7686434006490168</v>
      </c>
      <c r="T61" s="7">
        <v>-0.14742023069560087</v>
      </c>
      <c r="U61" s="7">
        <v>0.32551590172840233</v>
      </c>
      <c r="V61" s="7">
        <v>-0.31653616603732937</v>
      </c>
      <c r="W61" s="7">
        <v>0.15753325473759255</v>
      </c>
      <c r="X61" s="7">
        <v>0.7907530822904046</v>
      </c>
      <c r="Y61" s="7">
        <v>-0.546852848864591</v>
      </c>
      <c r="Z61" s="7">
        <v>0.16449875354825874</v>
      </c>
      <c r="AA61" s="7">
        <v>0.02790591729271817</v>
      </c>
      <c r="AB61" s="7">
        <v>-0.1009031099982529</v>
      </c>
      <c r="AC61" s="7">
        <v>9.39103491364085E-4</v>
      </c>
      <c r="AD61" s="1"/>
      <c r="AE61" s="1"/>
      <c r="AF61" s="1"/>
      <c r="AG61" s="1"/>
      <c r="AH61" s="1"/>
    </row>
    <row r="62" ht="16.5" customHeight="1">
      <c r="A62" s="1" t="s">
        <v>13</v>
      </c>
      <c r="B62" s="7">
        <f t="shared" ref="B62:N62" si="36">CORREL($K$28:$K$47,B28:B47)</f>
        <v>0.2082900563</v>
      </c>
      <c r="C62" s="7">
        <f t="shared" si="36"/>
        <v>0.3997853071</v>
      </c>
      <c r="D62" s="7">
        <f t="shared" si="36"/>
        <v>0.01264219193</v>
      </c>
      <c r="E62" s="7">
        <f t="shared" si="36"/>
        <v>-0.3708223654</v>
      </c>
      <c r="F62" s="7">
        <f t="shared" si="36"/>
        <v>-0.3891044093</v>
      </c>
      <c r="G62" s="7">
        <f t="shared" si="36"/>
        <v>-0.02161615399</v>
      </c>
      <c r="H62" s="7">
        <f t="shared" si="36"/>
        <v>0.2029543379</v>
      </c>
      <c r="I62" s="7">
        <f t="shared" si="36"/>
        <v>0.03886283384</v>
      </c>
      <c r="J62" s="7">
        <f t="shared" si="36"/>
        <v>-0.4208901425</v>
      </c>
      <c r="K62" s="7">
        <f t="shared" si="36"/>
        <v>1</v>
      </c>
      <c r="L62" s="7">
        <f t="shared" si="36"/>
        <v>0.6535529282</v>
      </c>
      <c r="M62" s="7">
        <f t="shared" si="36"/>
        <v>-0.01839270293</v>
      </c>
      <c r="N62" s="7">
        <f t="shared" si="36"/>
        <v>0.196388302</v>
      </c>
      <c r="O62" s="1"/>
      <c r="P62" s="1" t="s">
        <v>31</v>
      </c>
      <c r="Q62" s="7">
        <v>-1.8789102148009036</v>
      </c>
      <c r="R62" s="7">
        <v>1.0547995952870328</v>
      </c>
      <c r="S62" s="7">
        <v>-0.19964030793977666</v>
      </c>
      <c r="T62" s="7">
        <v>-0.637620297505649</v>
      </c>
      <c r="U62" s="7">
        <v>0.8536435895859684</v>
      </c>
      <c r="V62" s="7">
        <v>-0.4254341818834731</v>
      </c>
      <c r="W62" s="7">
        <v>-0.03382422850134623</v>
      </c>
      <c r="X62" s="7">
        <v>0.7919799418863657</v>
      </c>
      <c r="Y62" s="7">
        <v>0.24750677349121003</v>
      </c>
      <c r="Z62" s="7">
        <v>0.10290363010281536</v>
      </c>
      <c r="AA62" s="7">
        <v>-0.08221270771419953</v>
      </c>
      <c r="AB62" s="7">
        <v>0.05104309105329871</v>
      </c>
      <c r="AC62" s="7">
        <v>-4.28761878419337E-5</v>
      </c>
      <c r="AD62" s="1"/>
      <c r="AE62" s="1"/>
      <c r="AF62" s="1"/>
      <c r="AG62" s="1"/>
      <c r="AH62" s="1"/>
    </row>
    <row r="63" ht="16.5" customHeight="1">
      <c r="A63" s="1" t="s">
        <v>14</v>
      </c>
      <c r="B63" s="7">
        <f t="shared" ref="B63:N63" si="37">CORREL($L$28:$L$47,B28:B47)</f>
        <v>0.2428821202</v>
      </c>
      <c r="C63" s="7">
        <f t="shared" si="37"/>
        <v>0.2696466971</v>
      </c>
      <c r="D63" s="7">
        <f t="shared" si="37"/>
        <v>0.01869930133</v>
      </c>
      <c r="E63" s="7">
        <f t="shared" si="37"/>
        <v>0.1371742096</v>
      </c>
      <c r="F63" s="7">
        <f t="shared" si="37"/>
        <v>0.08734952787</v>
      </c>
      <c r="G63" s="7">
        <f t="shared" si="37"/>
        <v>0.2484097004</v>
      </c>
      <c r="H63" s="7">
        <f t="shared" si="37"/>
        <v>0.04514716013</v>
      </c>
      <c r="I63" s="7">
        <f t="shared" si="37"/>
        <v>0.7480541915</v>
      </c>
      <c r="J63" s="7">
        <f t="shared" si="37"/>
        <v>0.005470271435</v>
      </c>
      <c r="K63" s="7">
        <f t="shared" si="37"/>
        <v>0.6535529282</v>
      </c>
      <c r="L63" s="7">
        <f t="shared" si="37"/>
        <v>1</v>
      </c>
      <c r="M63" s="7">
        <f t="shared" si="37"/>
        <v>0.3888973907</v>
      </c>
      <c r="N63" s="7">
        <f t="shared" si="37"/>
        <v>0.6458985707</v>
      </c>
      <c r="O63" s="1"/>
      <c r="P63" s="1" t="s">
        <v>32</v>
      </c>
      <c r="Q63" s="7">
        <v>-3.1552461637621034</v>
      </c>
      <c r="R63" s="7">
        <v>-0.6759551027706302</v>
      </c>
      <c r="S63" s="7">
        <v>-0.3099041531094261</v>
      </c>
      <c r="T63" s="7">
        <v>-0.07051182196031017</v>
      </c>
      <c r="U63" s="7">
        <v>-0.6832894206372757</v>
      </c>
      <c r="V63" s="7">
        <v>-0.013855059160039422</v>
      </c>
      <c r="W63" s="7">
        <v>-0.14085326596766895</v>
      </c>
      <c r="X63" s="7">
        <v>-0.2370195056997957</v>
      </c>
      <c r="Y63" s="7">
        <v>0.15040744674623946</v>
      </c>
      <c r="Z63" s="7">
        <v>-0.372948289350464</v>
      </c>
      <c r="AA63" s="7">
        <v>0.005106997343295838</v>
      </c>
      <c r="AB63" s="7">
        <v>-0.025042895442437152</v>
      </c>
      <c r="AC63" s="7">
        <v>0.001468322859292992</v>
      </c>
      <c r="AD63" s="1"/>
      <c r="AE63" s="1"/>
      <c r="AF63" s="1"/>
      <c r="AG63" s="1"/>
      <c r="AH63" s="1"/>
    </row>
    <row r="64" ht="16.5" customHeight="1">
      <c r="A64" s="1" t="s">
        <v>15</v>
      </c>
      <c r="B64" s="7">
        <f t="shared" ref="B64:N64" si="38">CORREL($M$28:$M$47,B28:B47)</f>
        <v>-0.1707401542</v>
      </c>
      <c r="C64" s="7">
        <f t="shared" si="38"/>
        <v>0.1512507541</v>
      </c>
      <c r="D64" s="7">
        <f t="shared" si="38"/>
        <v>-0.3444898703</v>
      </c>
      <c r="E64" s="7">
        <f t="shared" si="38"/>
        <v>0.9019404537</v>
      </c>
      <c r="F64" s="7">
        <f t="shared" si="38"/>
        <v>0.7201906915</v>
      </c>
      <c r="G64" s="7">
        <f t="shared" si="38"/>
        <v>0.2555695508</v>
      </c>
      <c r="H64" s="7">
        <f t="shared" si="38"/>
        <v>-0.05294910792</v>
      </c>
      <c r="I64" s="7">
        <f t="shared" si="38"/>
        <v>0.4288041112</v>
      </c>
      <c r="J64" s="7">
        <f t="shared" si="38"/>
        <v>0.4660566726</v>
      </c>
      <c r="K64" s="7">
        <f t="shared" si="38"/>
        <v>-0.01839270293</v>
      </c>
      <c r="L64" s="7">
        <f t="shared" si="38"/>
        <v>0.3888973907</v>
      </c>
      <c r="M64" s="7">
        <f t="shared" si="38"/>
        <v>1</v>
      </c>
      <c r="N64" s="7">
        <f t="shared" si="38"/>
        <v>0.9544969379</v>
      </c>
      <c r="O64" s="1"/>
      <c r="P64" s="1" t="s">
        <v>33</v>
      </c>
      <c r="Q64" s="7">
        <v>-2.499507541559963</v>
      </c>
      <c r="R64" s="7">
        <v>-2.542261453879249</v>
      </c>
      <c r="S64" s="7">
        <v>-0.43865655830620043</v>
      </c>
      <c r="T64" s="7">
        <v>0.9851265848891853</v>
      </c>
      <c r="U64" s="7">
        <v>0.07253277527854396</v>
      </c>
      <c r="V64" s="7">
        <v>-0.03743573605264103</v>
      </c>
      <c r="W64" s="7">
        <v>0.9626806550070667</v>
      </c>
      <c r="X64" s="7">
        <v>-0.12933894763360196</v>
      </c>
      <c r="Y64" s="7">
        <v>0.003014224960309314</v>
      </c>
      <c r="Z64" s="7">
        <v>0.0737539300864325</v>
      </c>
      <c r="AA64" s="7">
        <v>-0.09100316273220144</v>
      </c>
      <c r="AB64" s="7">
        <v>-0.12097876100273428</v>
      </c>
      <c r="AC64" s="7">
        <v>-0.002562790777741575</v>
      </c>
      <c r="AD64" s="1"/>
      <c r="AE64" s="1"/>
      <c r="AF64" s="1"/>
      <c r="AG64" s="1"/>
      <c r="AH64" s="1"/>
    </row>
    <row r="65" ht="16.5" customHeight="1">
      <c r="A65" s="1" t="s">
        <v>16</v>
      </c>
      <c r="B65" s="7">
        <f t="shared" ref="B65:N65" si="39">CORREL($N$28:$N$47,B28:B47)</f>
        <v>-0.06211573275</v>
      </c>
      <c r="C65" s="7">
        <f t="shared" si="39"/>
        <v>0.2119314444</v>
      </c>
      <c r="D65" s="7">
        <f t="shared" si="39"/>
        <v>-0.2784177056</v>
      </c>
      <c r="E65" s="7">
        <f t="shared" si="39"/>
        <v>0.7921360359</v>
      </c>
      <c r="F65" s="7">
        <f t="shared" si="39"/>
        <v>0.6251656979</v>
      </c>
      <c r="G65" s="7">
        <f t="shared" si="39"/>
        <v>0.291912872</v>
      </c>
      <c r="H65" s="7">
        <f t="shared" si="39"/>
        <v>-0.02821343797</v>
      </c>
      <c r="I65" s="7">
        <f t="shared" si="39"/>
        <v>0.5974804319</v>
      </c>
      <c r="J65" s="7">
        <f t="shared" si="39"/>
        <v>0.389532399</v>
      </c>
      <c r="K65" s="7">
        <f t="shared" si="39"/>
        <v>0.196388302</v>
      </c>
      <c r="L65" s="7">
        <f t="shared" si="39"/>
        <v>0.6458985707</v>
      </c>
      <c r="M65" s="7">
        <f t="shared" si="39"/>
        <v>0.9544969379</v>
      </c>
      <c r="N65" s="7">
        <f t="shared" si="39"/>
        <v>1</v>
      </c>
      <c r="O65" s="1"/>
      <c r="P65" s="1" t="s">
        <v>34</v>
      </c>
      <c r="Q65" s="7">
        <v>-2.5549110803388118</v>
      </c>
      <c r="R65" s="7">
        <v>2.6572898245446095</v>
      </c>
      <c r="S65" s="7">
        <v>-1.3759802157667547</v>
      </c>
      <c r="T65" s="7">
        <v>-1.3069757435530491</v>
      </c>
      <c r="U65" s="7">
        <v>0.02237994877919197</v>
      </c>
      <c r="V65" s="7">
        <v>1.1917872175644628</v>
      </c>
      <c r="W65" s="7">
        <v>-0.31748891682558816</v>
      </c>
      <c r="X65" s="7">
        <v>-0.2490655522751938</v>
      </c>
      <c r="Y65" s="7">
        <v>-0.5015816240320121</v>
      </c>
      <c r="Z65" s="7">
        <v>-0.20121558874619028</v>
      </c>
      <c r="AA65" s="7">
        <v>-0.03138990252052154</v>
      </c>
      <c r="AB65" s="7">
        <v>0.05846340792875526</v>
      </c>
      <c r="AC65" s="7">
        <v>-0.002229593292395249</v>
      </c>
      <c r="AD65" s="1"/>
      <c r="AE65" s="1"/>
      <c r="AF65" s="1"/>
      <c r="AG65" s="1"/>
      <c r="AH65" s="1"/>
    </row>
    <row r="6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 t="s">
        <v>35</v>
      </c>
      <c r="Q66" s="7">
        <v>-1.9249441153624673</v>
      </c>
      <c r="R66" s="7">
        <v>-2.0721273575503565</v>
      </c>
      <c r="S66" s="7">
        <v>-0.13846016477201892</v>
      </c>
      <c r="T66" s="7">
        <v>0.4546818070252222</v>
      </c>
      <c r="U66" s="7">
        <v>-0.27518616165945287</v>
      </c>
      <c r="V66" s="7">
        <v>0.4125642427950624</v>
      </c>
      <c r="W66" s="7">
        <v>0.1348471214062706</v>
      </c>
      <c r="X66" s="7">
        <v>0.22595960928397735</v>
      </c>
      <c r="Y66" s="7">
        <v>-0.334497097891112</v>
      </c>
      <c r="Z66" s="7">
        <v>-0.27938333089959744</v>
      </c>
      <c r="AA66" s="7">
        <v>0.051157829400255816</v>
      </c>
      <c r="AB66" s="7">
        <v>-0.03338827677808576</v>
      </c>
      <c r="AC66" s="7">
        <v>0.0035512338130904153</v>
      </c>
      <c r="AD66" s="1"/>
      <c r="AE66" s="1"/>
      <c r="AF66" s="1"/>
      <c r="AG66" s="1"/>
      <c r="AH66" s="1"/>
    </row>
    <row r="67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 t="s">
        <v>36</v>
      </c>
      <c r="Q67" s="7">
        <v>0.4147110366990648</v>
      </c>
      <c r="R67" s="7">
        <v>-2.5510512316286267</v>
      </c>
      <c r="S67" s="7">
        <v>-0.47275258820614624</v>
      </c>
      <c r="T67" s="7">
        <v>-1.3329056076788528</v>
      </c>
      <c r="U67" s="7">
        <v>0.7071981156809144</v>
      </c>
      <c r="V67" s="7">
        <v>-1.6411266687318946</v>
      </c>
      <c r="W67" s="7">
        <v>-0.46033322446980324</v>
      </c>
      <c r="X67" s="7">
        <v>-0.022646791287287086</v>
      </c>
      <c r="Y67" s="7">
        <v>-0.1674698795185441</v>
      </c>
      <c r="Z67" s="7">
        <v>-0.12025975505920539</v>
      </c>
      <c r="AA67" s="7">
        <v>0.09812176790454609</v>
      </c>
      <c r="AB67" s="7">
        <v>0.02428840687999071</v>
      </c>
      <c r="AC67" s="7">
        <v>6.657981524884893E-4</v>
      </c>
      <c r="AD67" s="1"/>
      <c r="AE67" s="1"/>
      <c r="AF67" s="1"/>
      <c r="AG67" s="1"/>
      <c r="AH67" s="1"/>
    </row>
    <row r="6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 t="s">
        <v>37</v>
      </c>
      <c r="Q68" s="7">
        <v>0.7780484383073946</v>
      </c>
      <c r="R68" s="7">
        <v>2.192217335968979</v>
      </c>
      <c r="S68" s="7">
        <v>-3.5647656934057195</v>
      </c>
      <c r="T68" s="7">
        <v>0.0807049049170485</v>
      </c>
      <c r="U68" s="7">
        <v>-1.5971766152967832</v>
      </c>
      <c r="V68" s="7">
        <v>-0.7717716240501924</v>
      </c>
      <c r="W68" s="7">
        <v>-0.016461379448669645</v>
      </c>
      <c r="X68" s="7">
        <v>-0.38317272490212645</v>
      </c>
      <c r="Y68" s="7">
        <v>0.5662632840514676</v>
      </c>
      <c r="Z68" s="7">
        <v>0.005182080894313101</v>
      </c>
      <c r="AA68" s="7">
        <v>0.006320656146978888</v>
      </c>
      <c r="AB68" s="7">
        <v>-0.013033609794060201</v>
      </c>
      <c r="AC68" s="7">
        <v>3.0330052578378397E-4</v>
      </c>
      <c r="AD68" s="1"/>
      <c r="AE68" s="1"/>
      <c r="AF68" s="1"/>
      <c r="AG68" s="1"/>
      <c r="AH68" s="1"/>
    </row>
    <row r="69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 t="s">
        <v>38</v>
      </c>
      <c r="Q69" s="7">
        <v>3.7027690276183174</v>
      </c>
      <c r="R69" s="7">
        <v>-2.7050512408939666</v>
      </c>
      <c r="S69" s="7">
        <v>0.24893580405615684</v>
      </c>
      <c r="T69" s="7">
        <v>-1.5193340790006806</v>
      </c>
      <c r="U69" s="7">
        <v>-1.4940194734683643</v>
      </c>
      <c r="V69" s="7">
        <v>0.3372757393906134</v>
      </c>
      <c r="W69" s="7">
        <v>0.4498525123806855</v>
      </c>
      <c r="X69" s="7">
        <v>0.15712874849843703</v>
      </c>
      <c r="Y69" s="7">
        <v>-0.2976186341812398</v>
      </c>
      <c r="Z69" s="7">
        <v>-0.09868332124493678</v>
      </c>
      <c r="AA69" s="7">
        <v>-0.08349872562054844</v>
      </c>
      <c r="AB69" s="7">
        <v>0.055756879981713414</v>
      </c>
      <c r="AC69" s="7">
        <v>3.199908143440844E-4</v>
      </c>
      <c r="AD69" s="1"/>
      <c r="AE69" s="1"/>
      <c r="AF69" s="1"/>
      <c r="AG69" s="1"/>
      <c r="AH69" s="1"/>
    </row>
    <row r="70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 t="s">
        <v>39</v>
      </c>
      <c r="Q70" s="7">
        <v>-0.8090253817252805</v>
      </c>
      <c r="R70" s="7">
        <v>-1.0152941435542986</v>
      </c>
      <c r="S70" s="7">
        <v>-0.9908016045664991</v>
      </c>
      <c r="T70" s="7">
        <v>0.46047517933163373</v>
      </c>
      <c r="U70" s="7">
        <v>-0.2793927402140012</v>
      </c>
      <c r="V70" s="7">
        <v>0.5940322624543003</v>
      </c>
      <c r="W70" s="7">
        <v>-0.6093404438935255</v>
      </c>
      <c r="X70" s="7">
        <v>0.21664800300905515</v>
      </c>
      <c r="Y70" s="7">
        <v>0.012128122437424914</v>
      </c>
      <c r="Z70" s="7">
        <v>0.3341972278383795</v>
      </c>
      <c r="AA70" s="7">
        <v>0.0339873576914792</v>
      </c>
      <c r="AB70" s="7">
        <v>-0.014388284392029646</v>
      </c>
      <c r="AC70" s="7">
        <v>0.002168849303438136</v>
      </c>
      <c r="AD70" s="1"/>
      <c r="AE70" s="1"/>
      <c r="AF70" s="1"/>
      <c r="AG70" s="1"/>
      <c r="AH70" s="1"/>
    </row>
    <row r="71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 t="s">
        <v>40</v>
      </c>
      <c r="Q71" s="7">
        <v>1.989952023058782</v>
      </c>
      <c r="R71" s="7">
        <v>-1.32249630976703</v>
      </c>
      <c r="S71" s="7">
        <v>-0.5811560513925154</v>
      </c>
      <c r="T71" s="7">
        <v>0.9707713608263285</v>
      </c>
      <c r="U71" s="7">
        <v>1.1236436459461208</v>
      </c>
      <c r="V71" s="7">
        <v>0.7485019794145237</v>
      </c>
      <c r="W71" s="7">
        <v>0.19148460413426843</v>
      </c>
      <c r="X71" s="7">
        <v>0.46096750457218433</v>
      </c>
      <c r="Y71" s="7">
        <v>0.3727345892292934</v>
      </c>
      <c r="Z71" s="7">
        <v>-0.09247509076695239</v>
      </c>
      <c r="AA71" s="7">
        <v>0.08809037230303357</v>
      </c>
      <c r="AB71" s="7">
        <v>0.052538221716314844</v>
      </c>
      <c r="AC71" s="7">
        <v>-0.0033673463088852995</v>
      </c>
      <c r="AD71" s="1"/>
      <c r="AE71" s="1"/>
      <c r="AF71" s="1"/>
      <c r="AG71" s="1"/>
      <c r="AH71" s="1"/>
    </row>
    <row r="72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 t="s">
        <v>41</v>
      </c>
      <c r="Q72" s="7">
        <v>-1.004135429150716</v>
      </c>
      <c r="R72" s="7">
        <v>-1.5276797863631961</v>
      </c>
      <c r="S72" s="7">
        <v>-1.589899939077536</v>
      </c>
      <c r="T72" s="7">
        <v>0.8378221562838855</v>
      </c>
      <c r="U72" s="7">
        <v>1.171765207850452</v>
      </c>
      <c r="V72" s="7">
        <v>0.2870576121955193</v>
      </c>
      <c r="W72" s="7">
        <v>-0.4973569992890044</v>
      </c>
      <c r="X72" s="7">
        <v>-0.26365732641156286</v>
      </c>
      <c r="Y72" s="7">
        <v>0.033512115321030114</v>
      </c>
      <c r="Z72" s="7">
        <v>0.19971941279131075</v>
      </c>
      <c r="AA72" s="7">
        <v>-0.0037914294491350753</v>
      </c>
      <c r="AB72" s="7">
        <v>0.05901309657390266</v>
      </c>
      <c r="AC72" s="7">
        <v>-0.001444384679397892</v>
      </c>
      <c r="AD72" s="1"/>
      <c r="AE72" s="1"/>
      <c r="AF72" s="1"/>
      <c r="AG72" s="1"/>
      <c r="AH72" s="1"/>
    </row>
    <row r="73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 t="s">
        <v>60</v>
      </c>
      <c r="Q73" s="7">
        <f t="shared" ref="Q73:AC73" si="40">VAR.S(Q53:Q72)</f>
        <v>4.670091203</v>
      </c>
      <c r="R73" s="7">
        <f t="shared" si="40"/>
        <v>3.169281039</v>
      </c>
      <c r="S73" s="7">
        <f t="shared" si="40"/>
        <v>2.095890334</v>
      </c>
      <c r="T73" s="7">
        <f t="shared" si="40"/>
        <v>1.017364782</v>
      </c>
      <c r="U73" s="7">
        <f t="shared" si="40"/>
        <v>0.9626923074</v>
      </c>
      <c r="V73" s="7">
        <f t="shared" si="40"/>
        <v>0.4340226261</v>
      </c>
      <c r="W73" s="7">
        <f t="shared" si="40"/>
        <v>0.3260506598</v>
      </c>
      <c r="X73" s="7">
        <f t="shared" si="40"/>
        <v>0.1503969937</v>
      </c>
      <c r="Y73" s="7">
        <f t="shared" si="40"/>
        <v>0.1145118642</v>
      </c>
      <c r="Z73" s="7">
        <f t="shared" si="40"/>
        <v>0.05207518194</v>
      </c>
      <c r="AA73" s="7">
        <f t="shared" si="40"/>
        <v>0.004174597141</v>
      </c>
      <c r="AB73" s="7">
        <f t="shared" si="40"/>
        <v>0.003442861553</v>
      </c>
      <c r="AC73" s="7">
        <f t="shared" si="40"/>
        <v>0.000005550893708</v>
      </c>
      <c r="AD73" s="1"/>
      <c r="AE73" s="1"/>
      <c r="AF73" s="1"/>
      <c r="AG73" s="1"/>
      <c r="AH73" s="1"/>
    </row>
    <row r="7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3" t="s">
        <v>61</v>
      </c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5"/>
      <c r="AD76" s="1"/>
      <c r="AE76" s="1"/>
      <c r="AF76" s="1"/>
      <c r="AG76" s="1"/>
      <c r="AH76" s="1"/>
    </row>
    <row r="77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 t="s">
        <v>19</v>
      </c>
      <c r="R77" s="1" t="s">
        <v>20</v>
      </c>
      <c r="S77" s="1" t="s">
        <v>21</v>
      </c>
      <c r="T77" s="1" t="s">
        <v>45</v>
      </c>
      <c r="U77" s="1" t="s">
        <v>46</v>
      </c>
      <c r="V77" s="1" t="s">
        <v>47</v>
      </c>
      <c r="W77" s="1" t="s">
        <v>48</v>
      </c>
      <c r="X77" s="1" t="s">
        <v>49</v>
      </c>
      <c r="Y77" s="1" t="s">
        <v>50</v>
      </c>
      <c r="Z77" s="1" t="s">
        <v>51</v>
      </c>
      <c r="AA77" s="1" t="s">
        <v>52</v>
      </c>
      <c r="AB77" s="1" t="s">
        <v>53</v>
      </c>
      <c r="AC77" s="1" t="s">
        <v>54</v>
      </c>
      <c r="AD77" s="1"/>
      <c r="AE77" s="1"/>
      <c r="AF77" s="1"/>
      <c r="AG77" s="1"/>
      <c r="AH77" s="1"/>
    </row>
    <row r="7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 t="s">
        <v>4</v>
      </c>
      <c r="Q78" s="7">
        <f t="shared" ref="Q78:AC78" si="41">CORREL($B$28:$B$47,Q53:Q72)</f>
        <v>0.1692451726</v>
      </c>
      <c r="R78" s="7">
        <f t="shared" si="41"/>
        <v>0.7172649245</v>
      </c>
      <c r="S78" s="7">
        <f t="shared" si="41"/>
        <v>-0.1680896122</v>
      </c>
      <c r="T78" s="7">
        <f t="shared" si="41"/>
        <v>0.006271482192</v>
      </c>
      <c r="U78" s="7">
        <f t="shared" si="41"/>
        <v>0.5350704103</v>
      </c>
      <c r="V78" s="7">
        <f t="shared" si="41"/>
        <v>-0.3141715726</v>
      </c>
      <c r="W78" s="7">
        <f t="shared" si="41"/>
        <v>-0.1681096866</v>
      </c>
      <c r="X78" s="7">
        <f t="shared" si="41"/>
        <v>-0.04643996634</v>
      </c>
      <c r="Y78" s="7">
        <f t="shared" si="41"/>
        <v>-0.09774586145</v>
      </c>
      <c r="Z78" s="7">
        <f t="shared" si="41"/>
        <v>-0.05886895358</v>
      </c>
      <c r="AA78" s="7">
        <f t="shared" si="41"/>
        <v>-0.006271168809</v>
      </c>
      <c r="AB78" s="7">
        <f t="shared" si="41"/>
        <v>0.01062344473</v>
      </c>
      <c r="AC78" s="7">
        <f t="shared" si="41"/>
        <v>-0.000005220066104</v>
      </c>
      <c r="AD78" s="1"/>
      <c r="AE78" s="1"/>
      <c r="AF78" s="1"/>
      <c r="AG78" s="1"/>
      <c r="AH78" s="1"/>
    </row>
    <row r="79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 t="s">
        <v>5</v>
      </c>
      <c r="Q79" s="7">
        <f t="shared" ref="Q79:AC79" si="42">CORREL($C$28:$C$47,Q53:Q72)</f>
        <v>0.2346679602</v>
      </c>
      <c r="R79" s="7">
        <f t="shared" si="42"/>
        <v>0.5306721213</v>
      </c>
      <c r="S79" s="7">
        <f t="shared" si="42"/>
        <v>0.1992928119</v>
      </c>
      <c r="T79" s="7">
        <f t="shared" si="42"/>
        <v>0.6744058585</v>
      </c>
      <c r="U79" s="7">
        <f t="shared" si="42"/>
        <v>0.2408614684</v>
      </c>
      <c r="V79" s="7">
        <f t="shared" si="42"/>
        <v>0.3151633754</v>
      </c>
      <c r="W79" s="7">
        <f t="shared" si="42"/>
        <v>0.01099284138</v>
      </c>
      <c r="X79" s="7">
        <f t="shared" si="42"/>
        <v>0.07798303325</v>
      </c>
      <c r="Y79" s="7">
        <f t="shared" si="42"/>
        <v>0.04271407904</v>
      </c>
      <c r="Z79" s="7">
        <f t="shared" si="42"/>
        <v>-0.05752777106</v>
      </c>
      <c r="AA79" s="7">
        <f t="shared" si="42"/>
        <v>0.009694858575</v>
      </c>
      <c r="AB79" s="7">
        <f t="shared" si="42"/>
        <v>-0.002199479734</v>
      </c>
      <c r="AC79" s="7">
        <f t="shared" si="42"/>
        <v>-0.000008784990426</v>
      </c>
      <c r="AD79" s="1"/>
      <c r="AE79" s="1"/>
      <c r="AF79" s="1"/>
      <c r="AG79" s="1"/>
      <c r="AH79" s="1"/>
    </row>
    <row r="80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 t="s">
        <v>6</v>
      </c>
      <c r="Q80" s="7">
        <f t="shared" ref="Q80:AC80" si="43">CORREL($D$28:$D$47,Q53:Q72)</f>
        <v>-0.2080196603</v>
      </c>
      <c r="R80" s="7">
        <f t="shared" si="43"/>
        <v>0.7297092162</v>
      </c>
      <c r="S80" s="7">
        <f t="shared" si="43"/>
        <v>-0.3993173174</v>
      </c>
      <c r="T80" s="7">
        <f t="shared" si="43"/>
        <v>-0.3176253224</v>
      </c>
      <c r="U80" s="7">
        <f t="shared" si="43"/>
        <v>-0.3125652385</v>
      </c>
      <c r="V80" s="7">
        <f t="shared" si="43"/>
        <v>0.1459722988</v>
      </c>
      <c r="W80" s="7">
        <f t="shared" si="43"/>
        <v>-0.03125950759</v>
      </c>
      <c r="X80" s="7">
        <f t="shared" si="43"/>
        <v>-0.1379026037</v>
      </c>
      <c r="Y80" s="7">
        <f t="shared" si="43"/>
        <v>0.1061524277</v>
      </c>
      <c r="Z80" s="7">
        <f t="shared" si="43"/>
        <v>-0.1166740785</v>
      </c>
      <c r="AA80" s="7">
        <f t="shared" si="43"/>
        <v>0.005630996956</v>
      </c>
      <c r="AB80" s="7">
        <f t="shared" si="43"/>
        <v>0.00005617307409</v>
      </c>
      <c r="AC80" s="7">
        <f t="shared" si="43"/>
        <v>-0.00001697657965</v>
      </c>
      <c r="AD80" s="1"/>
      <c r="AE80" s="1"/>
      <c r="AF80" s="1"/>
      <c r="AG80" s="1"/>
      <c r="AH80" s="1"/>
    </row>
    <row r="81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 t="s">
        <v>7</v>
      </c>
      <c r="Q81" s="7">
        <f t="shared" ref="Q81:AC81" si="44">CORREL($E$28:$E$47,Q53:Q72)</f>
        <v>0.8813180805</v>
      </c>
      <c r="R81" s="7">
        <f t="shared" si="44"/>
        <v>-0.3769026668</v>
      </c>
      <c r="S81" s="7">
        <f t="shared" si="44"/>
        <v>-0.1736818884</v>
      </c>
      <c r="T81" s="7">
        <f t="shared" si="44"/>
        <v>0.03138114325</v>
      </c>
      <c r="U81" s="7">
        <f t="shared" si="44"/>
        <v>-0.1367820991</v>
      </c>
      <c r="V81" s="7">
        <f t="shared" si="44"/>
        <v>-0.1080277439</v>
      </c>
      <c r="W81" s="7">
        <f t="shared" si="44"/>
        <v>-0.1016637052</v>
      </c>
      <c r="X81" s="7">
        <f t="shared" si="44"/>
        <v>-0.007195375284</v>
      </c>
      <c r="Y81" s="7">
        <f t="shared" si="44"/>
        <v>-0.07358454185</v>
      </c>
      <c r="Z81" s="7">
        <f t="shared" si="44"/>
        <v>-0.03678044611</v>
      </c>
      <c r="AA81" s="7">
        <f t="shared" si="44"/>
        <v>0.04766364586</v>
      </c>
      <c r="AB81" s="7">
        <f t="shared" si="44"/>
        <v>-0.01633148709</v>
      </c>
      <c r="AC81" s="7">
        <f t="shared" si="44"/>
        <v>-0.00003319519045</v>
      </c>
      <c r="AD81" s="1"/>
      <c r="AE81" s="1"/>
      <c r="AF81" s="1"/>
      <c r="AG81" s="1"/>
      <c r="AH81" s="1"/>
    </row>
    <row r="82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 t="s">
        <v>8</v>
      </c>
      <c r="Q82" s="7">
        <f t="shared" ref="Q82:AC82" si="45">CORREL($F$28:$F$47,Q53:Q72)</f>
        <v>0.8382594013</v>
      </c>
      <c r="R82" s="7">
        <f t="shared" si="45"/>
        <v>-0.2855117817</v>
      </c>
      <c r="S82" s="7">
        <f t="shared" si="45"/>
        <v>-0.2602794422</v>
      </c>
      <c r="T82" s="7">
        <f t="shared" si="45"/>
        <v>0.08935550574</v>
      </c>
      <c r="U82" s="7">
        <f t="shared" si="45"/>
        <v>0.1889261821</v>
      </c>
      <c r="V82" s="7">
        <f t="shared" si="45"/>
        <v>-0.09946140397</v>
      </c>
      <c r="W82" s="7">
        <f t="shared" si="45"/>
        <v>-0.1534192132</v>
      </c>
      <c r="X82" s="7">
        <f t="shared" si="45"/>
        <v>-0.04921256213</v>
      </c>
      <c r="Y82" s="7">
        <f t="shared" si="45"/>
        <v>0.2564959996</v>
      </c>
      <c r="Z82" s="7">
        <f t="shared" si="45"/>
        <v>0.05201822132</v>
      </c>
      <c r="AA82" s="7">
        <f t="shared" si="45"/>
        <v>-0.00366427707</v>
      </c>
      <c r="AB82" s="7">
        <f t="shared" si="45"/>
        <v>0.004458659916</v>
      </c>
      <c r="AC82" s="7">
        <f t="shared" si="45"/>
        <v>0.000004257722692</v>
      </c>
      <c r="AD82" s="1"/>
      <c r="AE82" s="1"/>
      <c r="AF82" s="1"/>
      <c r="AG82" s="1"/>
      <c r="AH82" s="1"/>
    </row>
    <row r="83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 t="s">
        <v>9</v>
      </c>
      <c r="Q83" s="7">
        <f t="shared" ref="Q83:AC83" si="46">CORREL($G$28:$G$47,Q53:Q72)</f>
        <v>0.4601754368</v>
      </c>
      <c r="R83" s="7">
        <f t="shared" si="46"/>
        <v>0.7256434786</v>
      </c>
      <c r="S83" s="7">
        <f t="shared" si="46"/>
        <v>-0.3795623836</v>
      </c>
      <c r="T83" s="7">
        <f t="shared" si="46"/>
        <v>0.03690572376</v>
      </c>
      <c r="U83" s="7">
        <f t="shared" si="46"/>
        <v>-0.1297891954</v>
      </c>
      <c r="V83" s="7">
        <f t="shared" si="46"/>
        <v>0.2097740376</v>
      </c>
      <c r="W83" s="7">
        <f t="shared" si="46"/>
        <v>-0.1227923228</v>
      </c>
      <c r="X83" s="7">
        <f t="shared" si="46"/>
        <v>-0.09562910185</v>
      </c>
      <c r="Y83" s="7">
        <f t="shared" si="46"/>
        <v>-0.1011715629</v>
      </c>
      <c r="Z83" s="7">
        <f t="shared" si="46"/>
        <v>0.1446994268</v>
      </c>
      <c r="AA83" s="7">
        <f t="shared" si="46"/>
        <v>-0.00108059114</v>
      </c>
      <c r="AB83" s="7">
        <f t="shared" si="46"/>
        <v>-0.001560368804</v>
      </c>
      <c r="AC83" s="7">
        <f t="shared" si="46"/>
        <v>0.00001740746736</v>
      </c>
      <c r="AD83" s="1"/>
      <c r="AE83" s="1"/>
      <c r="AF83" s="1"/>
      <c r="AG83" s="1"/>
      <c r="AH83" s="1"/>
    </row>
    <row r="8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 t="s">
        <v>10</v>
      </c>
      <c r="Q84" s="7">
        <f t="shared" ref="Q84:AC84" si="47">CORREL($H$28:$H$47,Q53:Q72)</f>
        <v>-0.001039943718</v>
      </c>
      <c r="R84" s="7">
        <f t="shared" si="47"/>
        <v>0.7463973847</v>
      </c>
      <c r="S84" s="7">
        <f t="shared" si="47"/>
        <v>-0.2994415505</v>
      </c>
      <c r="T84" s="7">
        <f t="shared" si="47"/>
        <v>0.1756916351</v>
      </c>
      <c r="U84" s="7">
        <f t="shared" si="47"/>
        <v>-0.422516122</v>
      </c>
      <c r="V84" s="7">
        <f t="shared" si="47"/>
        <v>-0.2978118395</v>
      </c>
      <c r="W84" s="7">
        <f t="shared" si="47"/>
        <v>0.06976127548</v>
      </c>
      <c r="X84" s="7">
        <f t="shared" si="47"/>
        <v>0.2173916079</v>
      </c>
      <c r="Y84" s="7">
        <f t="shared" si="47"/>
        <v>0.04992252677</v>
      </c>
      <c r="Z84" s="7">
        <f t="shared" si="47"/>
        <v>0.02294197377</v>
      </c>
      <c r="AA84" s="7">
        <f t="shared" si="47"/>
        <v>0.00003092320101</v>
      </c>
      <c r="AB84" s="7">
        <f t="shared" si="47"/>
        <v>-0.0009819004436</v>
      </c>
      <c r="AC84" s="7">
        <f t="shared" si="47"/>
        <v>0.0000008162314833</v>
      </c>
      <c r="AD84" s="1"/>
      <c r="AE84" s="1"/>
      <c r="AF84" s="1"/>
      <c r="AG84" s="1"/>
      <c r="AH84" s="1"/>
    </row>
    <row r="85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 t="s">
        <v>11</v>
      </c>
      <c r="Q85" s="7">
        <f t="shared" ref="Q85:AC85" si="48">CORREL($I$28:$I$47,Q53:Q72)</f>
        <v>0.7207688221</v>
      </c>
      <c r="R85" s="7">
        <f t="shared" si="48"/>
        <v>0.2966091495</v>
      </c>
      <c r="S85" s="7">
        <f t="shared" si="48"/>
        <v>0.1266703926</v>
      </c>
      <c r="T85" s="7">
        <f t="shared" si="48"/>
        <v>-0.5153931719</v>
      </c>
      <c r="U85" s="7">
        <f t="shared" si="48"/>
        <v>0.2636251436</v>
      </c>
      <c r="V85" s="7">
        <f t="shared" si="48"/>
        <v>0.1249357348</v>
      </c>
      <c r="W85" s="7">
        <f t="shared" si="48"/>
        <v>0.01435447665</v>
      </c>
      <c r="X85" s="7">
        <f t="shared" si="48"/>
        <v>0.1553673342</v>
      </c>
      <c r="Y85" s="7">
        <f t="shared" si="48"/>
        <v>0.0138179587</v>
      </c>
      <c r="Z85" s="7">
        <f t="shared" si="48"/>
        <v>-0.008328763047</v>
      </c>
      <c r="AA85" s="7">
        <f t="shared" si="48"/>
        <v>-0.012188121</v>
      </c>
      <c r="AB85" s="7">
        <f t="shared" si="48"/>
        <v>-0.03128480153</v>
      </c>
      <c r="AC85" s="7">
        <f t="shared" si="48"/>
        <v>0.00002287872828</v>
      </c>
      <c r="AD85" s="1"/>
      <c r="AE85" s="1"/>
      <c r="AF85" s="1"/>
      <c r="AG85" s="1"/>
      <c r="AH85" s="1"/>
    </row>
    <row r="8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 t="s">
        <v>12</v>
      </c>
      <c r="Q86" s="7">
        <f t="shared" ref="Q86:AC86" si="49">CORREL($J$28:$J$47,Q53:Q72)</f>
        <v>0.6839526847</v>
      </c>
      <c r="R86" s="7">
        <f t="shared" si="49"/>
        <v>-0.01058710061</v>
      </c>
      <c r="S86" s="7">
        <f t="shared" si="49"/>
        <v>-0.5173734642</v>
      </c>
      <c r="T86" s="7">
        <f t="shared" si="49"/>
        <v>0.05469292085</v>
      </c>
      <c r="U86" s="7">
        <f t="shared" si="49"/>
        <v>0.173447602</v>
      </c>
      <c r="V86" s="7">
        <f t="shared" si="49"/>
        <v>-0.03751926471</v>
      </c>
      <c r="W86" s="7">
        <f t="shared" si="49"/>
        <v>0.4717808136</v>
      </c>
      <c r="X86" s="7">
        <f t="shared" si="49"/>
        <v>-0.08364012893</v>
      </c>
      <c r="Y86" s="7">
        <f t="shared" si="49"/>
        <v>-0.01852397675</v>
      </c>
      <c r="Z86" s="7">
        <f t="shared" si="49"/>
        <v>-0.003757755354</v>
      </c>
      <c r="AA86" s="7">
        <f t="shared" si="49"/>
        <v>-0.001796550205</v>
      </c>
      <c r="AB86" s="7">
        <f t="shared" si="49"/>
        <v>0.002227577263</v>
      </c>
      <c r="AC86" s="7">
        <f t="shared" si="49"/>
        <v>-0.000006029902216</v>
      </c>
      <c r="AD86" s="1"/>
      <c r="AE86" s="1"/>
      <c r="AF86" s="1"/>
      <c r="AG86" s="1"/>
      <c r="AH86" s="1"/>
    </row>
    <row r="87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 t="s">
        <v>13</v>
      </c>
      <c r="Q87" s="7">
        <f t="shared" ref="Q87:AC87" si="50">CORREL($K$28:$K$47,Q53:Q72)</f>
        <v>-0.08469254893</v>
      </c>
      <c r="R87" s="7">
        <f t="shared" si="50"/>
        <v>0.4786588751</v>
      </c>
      <c r="S87" s="7">
        <f t="shared" si="50"/>
        <v>0.8074652241</v>
      </c>
      <c r="T87" s="7">
        <f t="shared" si="50"/>
        <v>0.1464271983</v>
      </c>
      <c r="U87" s="7">
        <f t="shared" si="50"/>
        <v>-0.06937934935</v>
      </c>
      <c r="V87" s="7">
        <f t="shared" si="50"/>
        <v>-0.2060847634</v>
      </c>
      <c r="W87" s="7">
        <f t="shared" si="50"/>
        <v>0.08997349688</v>
      </c>
      <c r="X87" s="7">
        <f t="shared" si="50"/>
        <v>-0.1763299323</v>
      </c>
      <c r="Y87" s="7">
        <f t="shared" si="50"/>
        <v>0.04674240481</v>
      </c>
      <c r="Z87" s="7">
        <f t="shared" si="50"/>
        <v>0.02902703251</v>
      </c>
      <c r="AA87" s="7">
        <f t="shared" si="50"/>
        <v>0.001105355056</v>
      </c>
      <c r="AB87" s="7">
        <f t="shared" si="50"/>
        <v>-0.02777227097</v>
      </c>
      <c r="AC87" s="7">
        <f t="shared" si="50"/>
        <v>0.000008943529478</v>
      </c>
      <c r="AD87" s="1"/>
      <c r="AE87" s="1"/>
      <c r="AF87" s="1"/>
      <c r="AG87" s="1"/>
      <c r="AH87" s="1"/>
    </row>
    <row r="8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 t="s">
        <v>14</v>
      </c>
      <c r="Q88" s="7">
        <f t="shared" ref="Q88:AC88" si="51">CORREL($L$28:$L$47,Q53:Q72)</f>
        <v>0.4975111894</v>
      </c>
      <c r="R88" s="7">
        <f t="shared" si="51"/>
        <v>0.4119398557</v>
      </c>
      <c r="S88" s="7">
        <f t="shared" si="51"/>
        <v>0.6814678459</v>
      </c>
      <c r="T88" s="7">
        <f t="shared" si="51"/>
        <v>-0.3240419081</v>
      </c>
      <c r="U88" s="7">
        <f t="shared" si="51"/>
        <v>0.01818884514</v>
      </c>
      <c r="V88" s="7">
        <f t="shared" si="51"/>
        <v>0.02962431481</v>
      </c>
      <c r="W88" s="7">
        <f t="shared" si="51"/>
        <v>0.08755193441</v>
      </c>
      <c r="X88" s="7">
        <f t="shared" si="51"/>
        <v>0.03458100686</v>
      </c>
      <c r="Y88" s="7">
        <f t="shared" si="51"/>
        <v>0.02835385186</v>
      </c>
      <c r="Z88" s="7">
        <f t="shared" si="51"/>
        <v>0.0298094694</v>
      </c>
      <c r="AA88" s="7">
        <f t="shared" si="51"/>
        <v>0.02235454987</v>
      </c>
      <c r="AB88" s="7">
        <f t="shared" si="51"/>
        <v>0.03353114885</v>
      </c>
      <c r="AC88" s="7">
        <f t="shared" si="51"/>
        <v>-0.0005982893578</v>
      </c>
      <c r="AD88" s="1"/>
      <c r="AE88" s="1"/>
      <c r="AF88" s="1"/>
      <c r="AG88" s="1"/>
      <c r="AH88" s="1"/>
    </row>
    <row r="89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 t="s">
        <v>15</v>
      </c>
      <c r="Q89" s="7">
        <f t="shared" ref="Q89:AC89" si="52">CORREL($M$28:$M$47,Q53:Q72)</f>
        <v>0.893080883</v>
      </c>
      <c r="R89" s="7">
        <f t="shared" si="52"/>
        <v>-0.2117670688</v>
      </c>
      <c r="S89" s="7">
        <f t="shared" si="52"/>
        <v>0.1451635237</v>
      </c>
      <c r="T89" s="7">
        <f t="shared" si="52"/>
        <v>0.1572559233</v>
      </c>
      <c r="U89" s="7">
        <f t="shared" si="52"/>
        <v>-0.3166546531</v>
      </c>
      <c r="V89" s="7">
        <f t="shared" si="52"/>
        <v>-0.007468769041</v>
      </c>
      <c r="W89" s="7">
        <f t="shared" si="52"/>
        <v>-0.06226147808</v>
      </c>
      <c r="X89" s="7">
        <f t="shared" si="52"/>
        <v>-0.02657096156</v>
      </c>
      <c r="Y89" s="7">
        <f t="shared" si="52"/>
        <v>-0.05557252247</v>
      </c>
      <c r="Z89" s="7">
        <f t="shared" si="52"/>
        <v>-0.05398757068</v>
      </c>
      <c r="AA89" s="7">
        <f t="shared" si="52"/>
        <v>-0.02906725803</v>
      </c>
      <c r="AB89" s="7">
        <f t="shared" si="52"/>
        <v>0.0009827259637</v>
      </c>
      <c r="AC89" s="7">
        <f t="shared" si="52"/>
        <v>-0.001441266898</v>
      </c>
      <c r="AD89" s="1"/>
      <c r="AE89" s="1"/>
      <c r="AF89" s="1"/>
      <c r="AG89" s="1"/>
      <c r="AH89" s="1"/>
    </row>
    <row r="90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 t="s">
        <v>16</v>
      </c>
      <c r="Q90" s="7">
        <f t="shared" ref="Q90:AC90" si="53">CORREL($N$28:$N$47,Q53:Q72)</f>
        <v>0.9013104359</v>
      </c>
      <c r="R90" s="7">
        <f t="shared" si="53"/>
        <v>-0.04171793293</v>
      </c>
      <c r="S90" s="7">
        <f t="shared" si="53"/>
        <v>0.3400426266</v>
      </c>
      <c r="T90" s="7">
        <f t="shared" si="53"/>
        <v>0.02495259201</v>
      </c>
      <c r="U90" s="7">
        <f t="shared" si="53"/>
        <v>-0.2567417967</v>
      </c>
      <c r="V90" s="7">
        <f t="shared" si="53"/>
        <v>0.001560660664</v>
      </c>
      <c r="W90" s="7">
        <f t="shared" si="53"/>
        <v>-0.02130703019</v>
      </c>
      <c r="X90" s="7">
        <f t="shared" si="53"/>
        <v>-0.01163481174</v>
      </c>
      <c r="Y90" s="7">
        <f t="shared" si="53"/>
        <v>-0.03634255904</v>
      </c>
      <c r="Z90" s="7">
        <f t="shared" si="53"/>
        <v>-0.03788229751</v>
      </c>
      <c r="AA90" s="7">
        <f t="shared" si="53"/>
        <v>-0.01501736967</v>
      </c>
      <c r="AB90" s="7">
        <f t="shared" si="53"/>
        <v>0.01244441543</v>
      </c>
      <c r="AC90" s="7">
        <f t="shared" si="53"/>
        <v>0.001764436775</v>
      </c>
      <c r="AD90" s="1"/>
      <c r="AE90" s="1"/>
      <c r="AF90" s="1"/>
      <c r="AG90" s="1"/>
      <c r="AH90" s="1"/>
    </row>
    <row r="91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ht="16.5" customHeight="1">
      <c r="A93" s="3" t="s">
        <v>44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5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ht="16.5" customHeight="1">
      <c r="A94" s="1" t="s">
        <v>1</v>
      </c>
      <c r="B94" s="1" t="s">
        <v>4</v>
      </c>
      <c r="C94" s="1" t="s">
        <v>5</v>
      </c>
      <c r="D94" s="1" t="s">
        <v>6</v>
      </c>
      <c r="E94" s="1" t="s">
        <v>7</v>
      </c>
      <c r="F94" s="1" t="s">
        <v>8</v>
      </c>
      <c r="G94" s="1" t="s">
        <v>9</v>
      </c>
      <c r="H94" s="1" t="s">
        <v>10</v>
      </c>
      <c r="I94" s="1" t="s">
        <v>11</v>
      </c>
      <c r="J94" s="1" t="s">
        <v>12</v>
      </c>
      <c r="K94" s="1" t="s">
        <v>13</v>
      </c>
      <c r="L94" s="1" t="s">
        <v>14</v>
      </c>
      <c r="M94" s="1" t="s">
        <v>15</v>
      </c>
      <c r="N94" s="1" t="s">
        <v>16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ht="16.5" customHeight="1">
      <c r="A95" s="1" t="s">
        <v>17</v>
      </c>
      <c r="B95" s="1">
        <f t="shared" ref="B95:N95" si="54">B28</f>
        <v>0.6159034952</v>
      </c>
      <c r="C95" s="1">
        <f t="shared" si="54"/>
        <v>0.6466248987</v>
      </c>
      <c r="D95" s="1">
        <f t="shared" si="54"/>
        <v>-0.6353849203</v>
      </c>
      <c r="E95" s="1">
        <f t="shared" si="54"/>
        <v>-1.270332104</v>
      </c>
      <c r="F95" s="1">
        <f t="shared" si="54"/>
        <v>-1.059323489</v>
      </c>
      <c r="G95" s="1">
        <f t="shared" si="54"/>
        <v>-0.607005544</v>
      </c>
      <c r="H95" s="1">
        <f t="shared" si="54"/>
        <v>-0.5393183419</v>
      </c>
      <c r="I95" s="1">
        <f t="shared" si="54"/>
        <v>-0.8022662903</v>
      </c>
      <c r="J95" s="1">
        <f t="shared" si="54"/>
        <v>-1.813767749</v>
      </c>
      <c r="K95" s="1">
        <f t="shared" si="54"/>
        <v>2.06349111</v>
      </c>
      <c r="L95" s="1">
        <f t="shared" si="54"/>
        <v>0.620018304</v>
      </c>
      <c r="M95" s="1">
        <f t="shared" si="54"/>
        <v>-0.7036161104</v>
      </c>
      <c r="N95" s="1">
        <f t="shared" si="54"/>
        <v>-0.3837424139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ht="16.5" customHeight="1">
      <c r="A96" s="1" t="s">
        <v>18</v>
      </c>
      <c r="B96" s="1">
        <f t="shared" ref="B96:N96" si="55">B29</f>
        <v>0.6771874251</v>
      </c>
      <c r="C96" s="1">
        <f t="shared" si="55"/>
        <v>1.480979607</v>
      </c>
      <c r="D96" s="1">
        <f t="shared" si="55"/>
        <v>-0.1971884235</v>
      </c>
      <c r="E96" s="1">
        <f t="shared" si="55"/>
        <v>-0.04493136061</v>
      </c>
      <c r="F96" s="1">
        <f t="shared" si="55"/>
        <v>-0.4788722621</v>
      </c>
      <c r="G96" s="1">
        <f t="shared" si="55"/>
        <v>-0.09197053697</v>
      </c>
      <c r="H96" s="1">
        <f t="shared" si="55"/>
        <v>1.239876188</v>
      </c>
      <c r="I96" s="1">
        <f t="shared" si="55"/>
        <v>-0.4757625675</v>
      </c>
      <c r="J96" s="1">
        <f t="shared" si="55"/>
        <v>-0.7723699985</v>
      </c>
      <c r="K96" s="1">
        <f t="shared" si="55"/>
        <v>1.833895437</v>
      </c>
      <c r="L96" s="1">
        <f t="shared" si="55"/>
        <v>0.7613330172</v>
      </c>
      <c r="M96" s="1">
        <f t="shared" si="55"/>
        <v>0.7535770177</v>
      </c>
      <c r="N96" s="1">
        <f t="shared" si="55"/>
        <v>0.8704681743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ht="16.5" customHeight="1">
      <c r="A97" s="1" t="s">
        <v>24</v>
      </c>
      <c r="B97" s="1">
        <f t="shared" ref="B97:N97" si="56">B30</f>
        <v>-1.52903405</v>
      </c>
      <c r="C97" s="1">
        <f t="shared" si="56"/>
        <v>-0.6049071633</v>
      </c>
      <c r="D97" s="1">
        <f t="shared" si="56"/>
        <v>0.67920457</v>
      </c>
      <c r="E97" s="1">
        <f t="shared" si="56"/>
        <v>-1.43371887</v>
      </c>
      <c r="F97" s="1">
        <f t="shared" si="56"/>
        <v>-1.764157122</v>
      </c>
      <c r="G97" s="1">
        <f t="shared" si="56"/>
        <v>-0.607005544</v>
      </c>
      <c r="H97" s="1">
        <f t="shared" si="56"/>
        <v>0.2390792649</v>
      </c>
      <c r="I97" s="1">
        <f t="shared" si="56"/>
        <v>-0.1959022337</v>
      </c>
      <c r="J97" s="1">
        <f t="shared" si="56"/>
        <v>-1.336460447</v>
      </c>
      <c r="K97" s="1">
        <f t="shared" si="56"/>
        <v>1.661698682</v>
      </c>
      <c r="L97" s="1">
        <f t="shared" si="56"/>
        <v>1.361920548</v>
      </c>
      <c r="M97" s="1">
        <f t="shared" si="56"/>
        <v>-0.7730062594</v>
      </c>
      <c r="N97" s="1">
        <f t="shared" si="56"/>
        <v>-0.1996381074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ht="16.5" customHeight="1">
      <c r="A98" s="1" t="s">
        <v>25</v>
      </c>
      <c r="B98" s="1">
        <f t="shared" ref="B98:N98" si="57">B31</f>
        <v>0.4320517056</v>
      </c>
      <c r="C98" s="1">
        <f t="shared" si="57"/>
        <v>1.759097843</v>
      </c>
      <c r="D98" s="1">
        <f t="shared" si="57"/>
        <v>-0.1971884235</v>
      </c>
      <c r="E98" s="1">
        <f t="shared" si="57"/>
        <v>0.2818421711</v>
      </c>
      <c r="F98" s="1">
        <f t="shared" si="57"/>
        <v>0.3918045781</v>
      </c>
      <c r="G98" s="1">
        <f t="shared" si="57"/>
        <v>0.790946618</v>
      </c>
      <c r="H98" s="1">
        <f t="shared" si="57"/>
        <v>0.9062772136</v>
      </c>
      <c r="I98" s="1">
        <f t="shared" si="57"/>
        <v>-0.05597206676</v>
      </c>
      <c r="J98" s="1">
        <f t="shared" si="57"/>
        <v>1.483991795</v>
      </c>
      <c r="K98" s="1">
        <f t="shared" si="57"/>
        <v>0.7433159909</v>
      </c>
      <c r="L98" s="1">
        <f t="shared" si="57"/>
        <v>0.4433749126</v>
      </c>
      <c r="M98" s="1">
        <f t="shared" si="57"/>
        <v>0.7813330773</v>
      </c>
      <c r="N98" s="1">
        <f t="shared" si="57"/>
        <v>0.8014290594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ht="16.5" customHeight="1">
      <c r="A99" s="1" t="s">
        <v>26</v>
      </c>
      <c r="B99" s="1">
        <f t="shared" ref="B99:N99" si="58">B32</f>
        <v>0.5546195653</v>
      </c>
      <c r="C99" s="1">
        <f t="shared" si="58"/>
        <v>-0.8830253993</v>
      </c>
      <c r="D99" s="1">
        <f t="shared" si="58"/>
        <v>-0.1971884235</v>
      </c>
      <c r="E99" s="1">
        <f t="shared" si="58"/>
        <v>-0.5350916581</v>
      </c>
      <c r="F99" s="1">
        <f t="shared" si="58"/>
        <v>0.01865736086</v>
      </c>
      <c r="G99" s="1">
        <f t="shared" si="58"/>
        <v>-0.6805819736</v>
      </c>
      <c r="H99" s="1">
        <f t="shared" si="58"/>
        <v>-0.5393183419</v>
      </c>
      <c r="I99" s="1">
        <f t="shared" si="58"/>
        <v>0.7836089347</v>
      </c>
      <c r="J99" s="1">
        <f t="shared" si="58"/>
        <v>0.2690277523</v>
      </c>
      <c r="K99" s="1">
        <f t="shared" si="58"/>
        <v>0.5711192363</v>
      </c>
      <c r="L99" s="1">
        <f t="shared" si="58"/>
        <v>0.7966616955</v>
      </c>
      <c r="M99" s="1">
        <f t="shared" si="58"/>
        <v>-0.6758600509</v>
      </c>
      <c r="N99" s="1">
        <f t="shared" si="58"/>
        <v>-0.3031967798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ht="16.5" customHeight="1">
      <c r="A100" s="1" t="s">
        <v>27</v>
      </c>
      <c r="B100" s="1">
        <f t="shared" ref="B100:N100" si="59">B33</f>
        <v>0.6159034952</v>
      </c>
      <c r="C100" s="1">
        <f t="shared" si="59"/>
        <v>0.9247431347</v>
      </c>
      <c r="D100" s="1">
        <f t="shared" si="59"/>
        <v>0.2410080732</v>
      </c>
      <c r="E100" s="1">
        <f t="shared" si="59"/>
        <v>0.4452289369</v>
      </c>
      <c r="F100" s="1">
        <f t="shared" si="59"/>
        <v>1.262481418</v>
      </c>
      <c r="G100" s="1">
        <f t="shared" si="59"/>
        <v>0.4230644701</v>
      </c>
      <c r="H100" s="1">
        <f t="shared" si="59"/>
        <v>-0.9841169743</v>
      </c>
      <c r="I100" s="1">
        <f t="shared" si="59"/>
        <v>2.136267215</v>
      </c>
      <c r="J100" s="1">
        <f t="shared" si="59"/>
        <v>0.00867831459</v>
      </c>
      <c r="K100" s="1">
        <f t="shared" si="59"/>
        <v>0.4563213998</v>
      </c>
      <c r="L100" s="1">
        <f t="shared" si="59"/>
        <v>1.679878653</v>
      </c>
      <c r="M100" s="1">
        <f t="shared" si="59"/>
        <v>0.6703088389</v>
      </c>
      <c r="N100" s="1">
        <f t="shared" si="59"/>
        <v>1.100598557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ht="16.5" customHeight="1">
      <c r="A101" s="1" t="s">
        <v>28</v>
      </c>
      <c r="B101" s="1">
        <f t="shared" ref="B101:N101" si="60">B34</f>
        <v>1.167458864</v>
      </c>
      <c r="C101" s="1">
        <f t="shared" si="60"/>
        <v>0.6466248987</v>
      </c>
      <c r="D101" s="1">
        <f t="shared" si="60"/>
        <v>-0.1971884235</v>
      </c>
      <c r="E101" s="1">
        <f t="shared" si="60"/>
        <v>1.180469383</v>
      </c>
      <c r="F101" s="1">
        <f t="shared" si="60"/>
        <v>1.055177409</v>
      </c>
      <c r="G101" s="1">
        <f t="shared" si="60"/>
        <v>1.305981625</v>
      </c>
      <c r="H101" s="1">
        <f t="shared" si="60"/>
        <v>-0.5393183419</v>
      </c>
      <c r="I101" s="1">
        <f t="shared" si="60"/>
        <v>1.250042824</v>
      </c>
      <c r="J101" s="1">
        <f t="shared" si="60"/>
        <v>1.787732806</v>
      </c>
      <c r="K101" s="1">
        <f t="shared" si="60"/>
        <v>0.3415235634</v>
      </c>
      <c r="L101" s="1">
        <f t="shared" si="60"/>
        <v>0.9379764086</v>
      </c>
      <c r="M101" s="1">
        <f t="shared" si="60"/>
        <v>1.045015643</v>
      </c>
      <c r="N101" s="1">
        <f t="shared" si="60"/>
        <v>1.169637672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ht="16.5" customHeight="1">
      <c r="A102" s="1" t="s">
        <v>29</v>
      </c>
      <c r="B102" s="1">
        <f t="shared" ref="B102:N102" si="61">B35</f>
        <v>-0.9161947516</v>
      </c>
      <c r="C102" s="1">
        <f t="shared" si="61"/>
        <v>0.0903884267</v>
      </c>
      <c r="D102" s="1">
        <f t="shared" si="61"/>
        <v>-0.6353849203</v>
      </c>
      <c r="E102" s="1">
        <f t="shared" si="61"/>
        <v>1.343856149</v>
      </c>
      <c r="F102" s="1">
        <f t="shared" si="61"/>
        <v>0.8893342011</v>
      </c>
      <c r="G102" s="1">
        <f t="shared" si="61"/>
        <v>0.5702173292</v>
      </c>
      <c r="H102" s="1">
        <f t="shared" si="61"/>
        <v>0.1278796068</v>
      </c>
      <c r="I102" s="1">
        <f t="shared" si="61"/>
        <v>-0.05597206676</v>
      </c>
      <c r="J102" s="1">
        <f t="shared" si="61"/>
        <v>-0.9025447174</v>
      </c>
      <c r="K102" s="1">
        <f t="shared" si="61"/>
        <v>0.2841246452</v>
      </c>
      <c r="L102" s="1">
        <f t="shared" si="61"/>
        <v>0.4080462343</v>
      </c>
      <c r="M102" s="1">
        <f t="shared" si="61"/>
        <v>1.849941371</v>
      </c>
      <c r="N102" s="1">
        <f t="shared" si="61"/>
        <v>1.652911477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ht="16.5" customHeight="1">
      <c r="A103" s="1" t="s">
        <v>30</v>
      </c>
      <c r="B103" s="1">
        <f t="shared" ref="B103:N103" si="62">B36</f>
        <v>1.657730303</v>
      </c>
      <c r="C103" s="1">
        <f t="shared" si="62"/>
        <v>0.7856840167</v>
      </c>
      <c r="D103" s="1">
        <f t="shared" si="62"/>
        <v>0.67920457</v>
      </c>
      <c r="E103" s="1">
        <f t="shared" si="62"/>
        <v>-0.04493136061</v>
      </c>
      <c r="F103" s="1">
        <f t="shared" si="62"/>
        <v>-0.3959506583</v>
      </c>
      <c r="G103" s="1">
        <f t="shared" si="62"/>
        <v>1.526710914</v>
      </c>
      <c r="H103" s="1">
        <f t="shared" si="62"/>
        <v>1.795874479</v>
      </c>
      <c r="I103" s="1">
        <f t="shared" si="62"/>
        <v>1.203399435</v>
      </c>
      <c r="J103" s="1">
        <f t="shared" si="62"/>
        <v>0.6161603359</v>
      </c>
      <c r="K103" s="1">
        <f t="shared" si="62"/>
        <v>0.05452897231</v>
      </c>
      <c r="L103" s="1">
        <f t="shared" si="62"/>
        <v>0.620018304</v>
      </c>
      <c r="M103" s="1">
        <f t="shared" si="62"/>
        <v>-0.1901290081</v>
      </c>
      <c r="N103" s="1">
        <f t="shared" si="62"/>
        <v>0.04199879493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ht="16.5" customHeight="1">
      <c r="A104" s="1" t="s">
        <v>31</v>
      </c>
      <c r="B104" s="1">
        <f t="shared" ref="B104:N104" si="63">B37</f>
        <v>0.7997552848</v>
      </c>
      <c r="C104" s="1">
        <f t="shared" si="63"/>
        <v>-0.1877298093</v>
      </c>
      <c r="D104" s="1">
        <f t="shared" si="63"/>
        <v>0.2410080732</v>
      </c>
      <c r="E104" s="1">
        <f t="shared" si="63"/>
        <v>-1.188638721</v>
      </c>
      <c r="F104" s="1">
        <f t="shared" si="63"/>
        <v>-0.561793866</v>
      </c>
      <c r="G104" s="1">
        <f t="shared" si="63"/>
        <v>-0.3862762553</v>
      </c>
      <c r="H104" s="1">
        <f t="shared" si="63"/>
        <v>0.6838778974</v>
      </c>
      <c r="I104" s="1">
        <f t="shared" si="63"/>
        <v>0.317175045</v>
      </c>
      <c r="J104" s="1">
        <f t="shared" si="63"/>
        <v>-0.5988037067</v>
      </c>
      <c r="K104" s="1">
        <f t="shared" si="63"/>
        <v>-0.1176677823</v>
      </c>
      <c r="L104" s="1">
        <f t="shared" si="63"/>
        <v>0.01943077306</v>
      </c>
      <c r="M104" s="1">
        <f t="shared" si="63"/>
        <v>-1.36976154</v>
      </c>
      <c r="N104" s="1">
        <f t="shared" si="63"/>
        <v>-1.131666159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ht="16.5" customHeight="1">
      <c r="A105" s="1" t="s">
        <v>32</v>
      </c>
      <c r="B105" s="1">
        <f t="shared" ref="B105:N105" si="64">B38</f>
        <v>-0.732342962</v>
      </c>
      <c r="C105" s="1">
        <f t="shared" si="64"/>
        <v>-0.7439662813</v>
      </c>
      <c r="D105" s="1">
        <f t="shared" si="64"/>
        <v>0.67920457</v>
      </c>
      <c r="E105" s="1">
        <f t="shared" si="64"/>
        <v>-0.9435585727</v>
      </c>
      <c r="F105" s="1">
        <f t="shared" si="64"/>
        <v>-1.100784291</v>
      </c>
      <c r="G105" s="1">
        <f t="shared" si="64"/>
        <v>-0.9748876919</v>
      </c>
      <c r="H105" s="1">
        <f t="shared" si="64"/>
        <v>-0.0945197094</v>
      </c>
      <c r="I105" s="1">
        <f t="shared" si="64"/>
        <v>-1.408630347</v>
      </c>
      <c r="J105" s="1">
        <f t="shared" si="64"/>
        <v>-1.076111009</v>
      </c>
      <c r="K105" s="1">
        <f t="shared" si="64"/>
        <v>-0.1176677823</v>
      </c>
      <c r="L105" s="1">
        <f t="shared" si="64"/>
        <v>-1.111086932</v>
      </c>
      <c r="M105" s="1">
        <f t="shared" si="64"/>
        <v>-0.9534206467</v>
      </c>
      <c r="N105" s="1">
        <f t="shared" si="64"/>
        <v>-1.143172678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ht="16.5" customHeight="1">
      <c r="A106" s="1" t="s">
        <v>33</v>
      </c>
      <c r="B106" s="1">
        <f t="shared" ref="B106:N106" si="65">B39</f>
        <v>-1.406466191</v>
      </c>
      <c r="C106" s="1">
        <f t="shared" si="65"/>
        <v>-0.4658480453</v>
      </c>
      <c r="D106" s="1">
        <f t="shared" si="65"/>
        <v>-1.073581417</v>
      </c>
      <c r="E106" s="1">
        <f t="shared" si="65"/>
        <v>-0.616785041</v>
      </c>
      <c r="F106" s="1">
        <f t="shared" si="65"/>
        <v>-0.6032546679</v>
      </c>
      <c r="G106" s="1">
        <f t="shared" si="65"/>
        <v>-1.563499129</v>
      </c>
      <c r="H106" s="1">
        <f t="shared" si="65"/>
        <v>-0.7617176581</v>
      </c>
      <c r="I106" s="1">
        <f t="shared" si="65"/>
        <v>-1.73513407</v>
      </c>
      <c r="J106" s="1">
        <f t="shared" si="65"/>
        <v>0.2690277523</v>
      </c>
      <c r="K106" s="1">
        <f t="shared" si="65"/>
        <v>-0.4046623734</v>
      </c>
      <c r="L106" s="1">
        <f t="shared" si="65"/>
        <v>-1.641017107</v>
      </c>
      <c r="M106" s="1">
        <f t="shared" si="65"/>
        <v>-0.7174941402</v>
      </c>
      <c r="N106" s="1">
        <f t="shared" si="65"/>
        <v>-1.131666159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ht="16.5" customHeight="1">
      <c r="A107" s="1" t="s">
        <v>34</v>
      </c>
      <c r="B107" s="1">
        <f t="shared" ref="B107:N107" si="66">B40</f>
        <v>0.7997552848</v>
      </c>
      <c r="C107" s="1">
        <f t="shared" si="66"/>
        <v>-0.0486706913</v>
      </c>
      <c r="D107" s="1">
        <f t="shared" si="66"/>
        <v>2.431990557</v>
      </c>
      <c r="E107" s="1">
        <f t="shared" si="66"/>
        <v>-1.515412253</v>
      </c>
      <c r="F107" s="1">
        <f t="shared" si="66"/>
        <v>-1.764157122</v>
      </c>
      <c r="G107" s="1">
        <f t="shared" si="66"/>
        <v>1.379558055</v>
      </c>
      <c r="H107" s="1">
        <f t="shared" si="66"/>
        <v>0.3502789231</v>
      </c>
      <c r="I107" s="1">
        <f t="shared" si="66"/>
        <v>0.223888267</v>
      </c>
      <c r="J107" s="1">
        <f t="shared" si="66"/>
        <v>-0.6421952797</v>
      </c>
      <c r="K107" s="1">
        <f t="shared" si="66"/>
        <v>-0.5768591281</v>
      </c>
      <c r="L107" s="1">
        <f t="shared" si="66"/>
        <v>-0.2631986533</v>
      </c>
      <c r="M107" s="1">
        <f t="shared" si="66"/>
        <v>-1.536297898</v>
      </c>
      <c r="N107" s="1">
        <f t="shared" si="66"/>
        <v>-1.361796542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ht="16.5" customHeight="1">
      <c r="A108" s="1" t="s">
        <v>35</v>
      </c>
      <c r="B108" s="1">
        <f t="shared" ref="B108:N108" si="67">B41</f>
        <v>-1.222614401</v>
      </c>
      <c r="C108" s="1">
        <f t="shared" si="67"/>
        <v>-0.3267889273</v>
      </c>
      <c r="D108" s="1">
        <f t="shared" si="67"/>
        <v>-0.6353849203</v>
      </c>
      <c r="E108" s="1">
        <f t="shared" si="67"/>
        <v>-0.2083181264</v>
      </c>
      <c r="F108" s="1">
        <f t="shared" si="67"/>
        <v>-0.8520194794</v>
      </c>
      <c r="G108" s="1">
        <f t="shared" si="67"/>
        <v>-1.195616981</v>
      </c>
      <c r="H108" s="1">
        <f t="shared" si="67"/>
        <v>-0.7617176581</v>
      </c>
      <c r="I108" s="1">
        <f t="shared" si="67"/>
        <v>-1.128770013</v>
      </c>
      <c r="J108" s="1">
        <f t="shared" si="67"/>
        <v>-0.5120205608</v>
      </c>
      <c r="K108" s="1">
        <f t="shared" si="67"/>
        <v>-0.7490558828</v>
      </c>
      <c r="L108" s="1">
        <f t="shared" si="67"/>
        <v>-1.146415611</v>
      </c>
      <c r="M108" s="1">
        <f t="shared" si="67"/>
        <v>-0.3427873359</v>
      </c>
      <c r="N108" s="1">
        <f t="shared" si="67"/>
        <v>-0.6483923546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ht="16.5" customHeight="1">
      <c r="A109" s="1" t="s">
        <v>36</v>
      </c>
      <c r="B109" s="1">
        <f t="shared" ref="B109:N109" si="68">B42</f>
        <v>0.4320517056</v>
      </c>
      <c r="C109" s="1">
        <f t="shared" si="68"/>
        <v>-2.273616579</v>
      </c>
      <c r="D109" s="1">
        <f t="shared" si="68"/>
        <v>-1.073581417</v>
      </c>
      <c r="E109" s="1">
        <f t="shared" si="68"/>
        <v>1.098776</v>
      </c>
      <c r="F109" s="1">
        <f t="shared" si="68"/>
        <v>0.8893342011</v>
      </c>
      <c r="G109" s="1">
        <f t="shared" si="68"/>
        <v>-1.416346269</v>
      </c>
      <c r="H109" s="1">
        <f t="shared" si="68"/>
        <v>-0.8729173162</v>
      </c>
      <c r="I109" s="1">
        <f t="shared" si="68"/>
        <v>0.1772448781</v>
      </c>
      <c r="J109" s="1">
        <f t="shared" si="68"/>
        <v>0.09546146049</v>
      </c>
      <c r="K109" s="1">
        <f t="shared" si="68"/>
        <v>-0.806454801</v>
      </c>
      <c r="L109" s="1">
        <f t="shared" si="68"/>
        <v>-0.4045133664</v>
      </c>
      <c r="M109" s="1">
        <f t="shared" si="68"/>
        <v>0.0735535579</v>
      </c>
      <c r="N109" s="1">
        <f t="shared" si="68"/>
        <v>-0.0615598775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ht="16.5" customHeight="1">
      <c r="A110" s="1" t="s">
        <v>37</v>
      </c>
      <c r="B110" s="1">
        <f t="shared" ref="B110:N110" si="69">B43</f>
        <v>0.738471355</v>
      </c>
      <c r="C110" s="1">
        <f t="shared" si="69"/>
        <v>-0.4658480453</v>
      </c>
      <c r="D110" s="1">
        <f t="shared" si="69"/>
        <v>2.431990557</v>
      </c>
      <c r="E110" s="1">
        <f t="shared" si="69"/>
        <v>0.5269223198</v>
      </c>
      <c r="F110" s="1">
        <f t="shared" si="69"/>
        <v>0.8893342011</v>
      </c>
      <c r="G110" s="1">
        <f t="shared" si="69"/>
        <v>1.894593062</v>
      </c>
      <c r="H110" s="1">
        <f t="shared" si="69"/>
        <v>2.574272085</v>
      </c>
      <c r="I110" s="1">
        <f t="shared" si="69"/>
        <v>-0.4291191785</v>
      </c>
      <c r="J110" s="1">
        <f t="shared" si="69"/>
        <v>1.310425503</v>
      </c>
      <c r="K110" s="1">
        <f t="shared" si="69"/>
        <v>-0.806454801</v>
      </c>
      <c r="L110" s="1">
        <f t="shared" si="69"/>
        <v>-1.075758254</v>
      </c>
      <c r="M110" s="1">
        <f t="shared" si="69"/>
        <v>0.1706997664</v>
      </c>
      <c r="N110" s="1">
        <f t="shared" si="69"/>
        <v>-0.1996381074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ht="16.5" customHeight="1">
      <c r="A111" s="1" t="s">
        <v>38</v>
      </c>
      <c r="B111" s="1">
        <f t="shared" ref="B111:N111" si="70">B44</f>
        <v>-1.8354537</v>
      </c>
      <c r="C111" s="1">
        <f t="shared" si="70"/>
        <v>-1.578320989</v>
      </c>
      <c r="D111" s="1">
        <f t="shared" si="70"/>
        <v>-0.6353849203</v>
      </c>
      <c r="E111" s="1">
        <f t="shared" si="70"/>
        <v>2.079096595</v>
      </c>
      <c r="F111" s="1">
        <f t="shared" si="70"/>
        <v>0.9722558049</v>
      </c>
      <c r="G111" s="1">
        <f t="shared" si="70"/>
        <v>-0.2391233961</v>
      </c>
      <c r="H111" s="1">
        <f t="shared" si="70"/>
        <v>-0.8729173162</v>
      </c>
      <c r="I111" s="1">
        <f t="shared" si="70"/>
        <v>1.296686213</v>
      </c>
      <c r="J111" s="1">
        <f t="shared" si="70"/>
        <v>1.093467638</v>
      </c>
      <c r="K111" s="1">
        <f t="shared" si="70"/>
        <v>-1.036050474</v>
      </c>
      <c r="L111" s="1">
        <f t="shared" si="70"/>
        <v>0.867319052</v>
      </c>
      <c r="M111" s="1">
        <f t="shared" si="70"/>
        <v>2.169136056</v>
      </c>
      <c r="N111" s="1">
        <f t="shared" si="70"/>
        <v>2.078652686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ht="16.5" customHeight="1">
      <c r="A112" s="1" t="s">
        <v>39</v>
      </c>
      <c r="B112" s="1">
        <f t="shared" ref="B112:N112" si="71">B45</f>
        <v>-0.732342962</v>
      </c>
      <c r="C112" s="1">
        <f t="shared" si="71"/>
        <v>-0.0486706913</v>
      </c>
      <c r="D112" s="1">
        <f t="shared" si="71"/>
        <v>-0.1971884235</v>
      </c>
      <c r="E112" s="1">
        <f t="shared" si="71"/>
        <v>0.03676202231</v>
      </c>
      <c r="F112" s="1">
        <f t="shared" si="71"/>
        <v>0.1430397666</v>
      </c>
      <c r="G112" s="1">
        <f t="shared" si="71"/>
        <v>0.2023351813</v>
      </c>
      <c r="H112" s="1">
        <f t="shared" si="71"/>
        <v>-0.2057193675</v>
      </c>
      <c r="I112" s="1">
        <f t="shared" si="71"/>
        <v>-0.6623361233</v>
      </c>
      <c r="J112" s="1">
        <f t="shared" si="71"/>
        <v>-0.5120205608</v>
      </c>
      <c r="K112" s="1">
        <f t="shared" si="71"/>
        <v>-1.036050474</v>
      </c>
      <c r="L112" s="1">
        <f t="shared" si="71"/>
        <v>-1.040429576</v>
      </c>
      <c r="M112" s="1">
        <f t="shared" si="71"/>
        <v>-0.2040070379</v>
      </c>
      <c r="N112" s="1">
        <f t="shared" si="71"/>
        <v>-0.5103141247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ht="16.5" customHeight="1">
      <c r="A113" s="1" t="s">
        <v>40</v>
      </c>
      <c r="B113" s="1">
        <f t="shared" ref="B113:N113" si="72">B46</f>
        <v>-0.242071523</v>
      </c>
      <c r="C113" s="1">
        <f t="shared" si="72"/>
        <v>1.202861371</v>
      </c>
      <c r="D113" s="1">
        <f t="shared" si="72"/>
        <v>-1.073581417</v>
      </c>
      <c r="E113" s="1">
        <f t="shared" si="72"/>
        <v>0.8536958515</v>
      </c>
      <c r="F113" s="1">
        <f t="shared" si="72"/>
        <v>1.428324626</v>
      </c>
      <c r="G113" s="1">
        <f t="shared" si="72"/>
        <v>-0.1655469665</v>
      </c>
      <c r="H113" s="1">
        <f t="shared" si="72"/>
        <v>-0.7617176581</v>
      </c>
      <c r="I113" s="1">
        <f t="shared" si="72"/>
        <v>0.5037486009</v>
      </c>
      <c r="J113" s="1">
        <f t="shared" si="72"/>
        <v>1.093467638</v>
      </c>
      <c r="K113" s="1">
        <f t="shared" si="72"/>
        <v>-1.093449392</v>
      </c>
      <c r="L113" s="1">
        <f t="shared" si="72"/>
        <v>-0.227869975</v>
      </c>
      <c r="M113" s="1">
        <f t="shared" si="72"/>
        <v>0.5731626304</v>
      </c>
      <c r="N113" s="1">
        <f t="shared" si="72"/>
        <v>0.3987008888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ht="16.5" customHeight="1">
      <c r="A114" s="1" t="s">
        <v>41</v>
      </c>
      <c r="B114" s="1">
        <f t="shared" ref="B114:N114" si="73">B47</f>
        <v>0.1256320562</v>
      </c>
      <c r="C114" s="1">
        <f t="shared" si="73"/>
        <v>0.0903884267</v>
      </c>
      <c r="D114" s="1">
        <f t="shared" si="73"/>
        <v>-0.6353849203</v>
      </c>
      <c r="E114" s="1">
        <f t="shared" si="73"/>
        <v>-0.04493136061</v>
      </c>
      <c r="F114" s="1">
        <f t="shared" si="73"/>
        <v>0.6405693896</v>
      </c>
      <c r="G114" s="1">
        <f t="shared" si="73"/>
        <v>-0.1655469665</v>
      </c>
      <c r="H114" s="1">
        <f t="shared" si="73"/>
        <v>-0.9841169743</v>
      </c>
      <c r="I114" s="1">
        <f t="shared" si="73"/>
        <v>-0.9421964572</v>
      </c>
      <c r="J114" s="1">
        <f t="shared" si="73"/>
        <v>0.1388530334</v>
      </c>
      <c r="K114" s="1">
        <f t="shared" si="73"/>
        <v>-1.265646147</v>
      </c>
      <c r="L114" s="1">
        <f t="shared" si="73"/>
        <v>-1.605688428</v>
      </c>
      <c r="M114" s="1">
        <f t="shared" si="73"/>
        <v>-0.6203479317</v>
      </c>
      <c r="N114" s="1">
        <f t="shared" si="73"/>
        <v>-1.039614006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ht="16.5" customHeight="1">
      <c r="A116" s="3" t="s">
        <v>62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5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ht="16.5" customHeight="1">
      <c r="A117" s="1" t="s">
        <v>1</v>
      </c>
      <c r="B117" s="1" t="s">
        <v>17</v>
      </c>
      <c r="C117" s="1" t="s">
        <v>18</v>
      </c>
      <c r="D117" s="1" t="s">
        <v>24</v>
      </c>
      <c r="E117" s="1" t="s">
        <v>25</v>
      </c>
      <c r="F117" s="1" t="s">
        <v>26</v>
      </c>
      <c r="G117" s="1" t="s">
        <v>27</v>
      </c>
      <c r="H117" s="1" t="s">
        <v>28</v>
      </c>
      <c r="I117" s="1" t="s">
        <v>29</v>
      </c>
      <c r="J117" s="1" t="s">
        <v>30</v>
      </c>
      <c r="K117" s="1" t="s">
        <v>31</v>
      </c>
      <c r="L117" s="1" t="s">
        <v>32</v>
      </c>
      <c r="M117" s="1" t="s">
        <v>33</v>
      </c>
      <c r="N117" s="1" t="s">
        <v>34</v>
      </c>
      <c r="O117" s="1" t="s">
        <v>35</v>
      </c>
      <c r="P117" s="1" t="s">
        <v>36</v>
      </c>
      <c r="Q117" s="1" t="s">
        <v>37</v>
      </c>
      <c r="R117" s="1" t="s">
        <v>38</v>
      </c>
      <c r="S117" s="1" t="s">
        <v>39</v>
      </c>
      <c r="T117" s="1" t="s">
        <v>40</v>
      </c>
      <c r="U117" s="1" t="s">
        <v>41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ht="16.5" customHeight="1">
      <c r="A118" s="1" t="s">
        <v>4</v>
      </c>
      <c r="B118" s="7">
        <f t="array" ref="B118:U130">TRANSPOSE(B95:N114)</f>
        <v>0.6159034952</v>
      </c>
      <c r="C118" s="7">
        <v>0.6771874250793481</v>
      </c>
      <c r="D118" s="7">
        <v>-1.5290340502922815</v>
      </c>
      <c r="E118" s="7">
        <v>0.4320517055936115</v>
      </c>
      <c r="F118" s="7">
        <v>0.5546195653364798</v>
      </c>
      <c r="G118" s="7">
        <v>0.615903495207914</v>
      </c>
      <c r="H118" s="7">
        <v>1.1674588640508214</v>
      </c>
      <c r="I118" s="7">
        <v>-0.91619475157794</v>
      </c>
      <c r="J118" s="7">
        <v>1.6577303030222947</v>
      </c>
      <c r="K118" s="7">
        <v>0.7997552848222165</v>
      </c>
      <c r="L118" s="7">
        <v>-0.7323429619636375</v>
      </c>
      <c r="M118" s="7">
        <v>-1.4064661905494131</v>
      </c>
      <c r="N118" s="7">
        <v>0.7997552848222165</v>
      </c>
      <c r="O118" s="7">
        <v>-1.2226144009351108</v>
      </c>
      <c r="P118" s="7">
        <v>0.4320517055936115</v>
      </c>
      <c r="Q118" s="7">
        <v>0.7384713549507823</v>
      </c>
      <c r="R118" s="7">
        <v>-1.8354536996494524</v>
      </c>
      <c r="S118" s="7">
        <v>-0.7323429619636375</v>
      </c>
      <c r="T118" s="7">
        <v>-0.24207152299216422</v>
      </c>
      <c r="U118" s="7">
        <v>0.12563205623644072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ht="16.5" customHeight="1">
      <c r="A119" s="1" t="s">
        <v>5</v>
      </c>
      <c r="B119" s="7">
        <v>0.6466248986894249</v>
      </c>
      <c r="C119" s="7">
        <v>1.4809796066757797</v>
      </c>
      <c r="D119" s="7">
        <v>-0.6049071632901075</v>
      </c>
      <c r="E119" s="7">
        <v>1.7590978426712314</v>
      </c>
      <c r="F119" s="7">
        <v>-0.8830253992855591</v>
      </c>
      <c r="G119" s="7">
        <v>0.9247431346848765</v>
      </c>
      <c r="H119" s="7">
        <v>0.6466248986894249</v>
      </c>
      <c r="I119" s="7">
        <v>0.09038842669852158</v>
      </c>
      <c r="J119" s="7">
        <v>0.7856840166871507</v>
      </c>
      <c r="K119" s="7">
        <v>-0.18772980929693006</v>
      </c>
      <c r="L119" s="7">
        <v>-0.7439662812878333</v>
      </c>
      <c r="M119" s="7">
        <v>-0.46584804529238166</v>
      </c>
      <c r="N119" s="7">
        <v>-0.04867069129920423</v>
      </c>
      <c r="O119" s="7">
        <v>-0.32678892729465586</v>
      </c>
      <c r="P119" s="7">
        <v>-2.2736165792628173</v>
      </c>
      <c r="Q119" s="7">
        <v>-0.46584804529238166</v>
      </c>
      <c r="R119" s="7">
        <v>-1.5783209892741883</v>
      </c>
      <c r="S119" s="7">
        <v>-0.04867069129920423</v>
      </c>
      <c r="T119" s="7">
        <v>1.2028613706803282</v>
      </c>
      <c r="U119" s="7">
        <v>0.09038842669852158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ht="16.5" customHeight="1">
      <c r="A120" s="1" t="s">
        <v>6</v>
      </c>
      <c r="B120" s="7">
        <v>-0.6353849203185151</v>
      </c>
      <c r="C120" s="7">
        <v>-0.19718842354712546</v>
      </c>
      <c r="D120" s="7">
        <v>0.6792045699956539</v>
      </c>
      <c r="E120" s="7">
        <v>-0.19718842354712546</v>
      </c>
      <c r="F120" s="7">
        <v>-0.19718842354712546</v>
      </c>
      <c r="G120" s="7">
        <v>0.24100807322426426</v>
      </c>
      <c r="H120" s="7">
        <v>-0.19718842354712546</v>
      </c>
      <c r="I120" s="7">
        <v>-0.6353849203185151</v>
      </c>
      <c r="J120" s="7">
        <v>0.6792045699956539</v>
      </c>
      <c r="K120" s="7">
        <v>0.24100807322426426</v>
      </c>
      <c r="L120" s="7">
        <v>0.6792045699956539</v>
      </c>
      <c r="M120" s="7">
        <v>-1.073581417089905</v>
      </c>
      <c r="N120" s="7">
        <v>2.4319905570812126</v>
      </c>
      <c r="O120" s="7">
        <v>-0.6353849203185151</v>
      </c>
      <c r="P120" s="7">
        <v>-1.073581417089905</v>
      </c>
      <c r="Q120" s="7">
        <v>2.4319905570812126</v>
      </c>
      <c r="R120" s="7">
        <v>-0.6353849203185151</v>
      </c>
      <c r="S120" s="7">
        <v>-0.19718842354712546</v>
      </c>
      <c r="T120" s="7">
        <v>-1.073581417089905</v>
      </c>
      <c r="U120" s="7">
        <v>-0.6353849203185151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ht="16.5" customHeight="1">
      <c r="A121" s="1" t="s">
        <v>7</v>
      </c>
      <c r="B121" s="7">
        <v>-1.270332104408514</v>
      </c>
      <c r="C121" s="7">
        <v>-0.04493136060608898</v>
      </c>
      <c r="D121" s="7">
        <v>-1.4337188702488375</v>
      </c>
      <c r="E121" s="7">
        <v>0.2818421710745577</v>
      </c>
      <c r="F121" s="7">
        <v>-0.5350916581270591</v>
      </c>
      <c r="G121" s="7">
        <v>0.4452289369148811</v>
      </c>
      <c r="H121" s="7">
        <v>1.1804693831963362</v>
      </c>
      <c r="I121" s="7">
        <v>1.3438561490366596</v>
      </c>
      <c r="J121" s="7">
        <v>-0.04493136060608898</v>
      </c>
      <c r="K121" s="7">
        <v>-1.1886387214883525</v>
      </c>
      <c r="L121" s="7">
        <v>-0.9435585727278675</v>
      </c>
      <c r="M121" s="7">
        <v>-0.6167850410472208</v>
      </c>
      <c r="N121" s="7">
        <v>-1.515412253168999</v>
      </c>
      <c r="O121" s="7">
        <v>-0.20831812644641234</v>
      </c>
      <c r="P121" s="7">
        <v>1.0987760002761744</v>
      </c>
      <c r="Q121" s="7">
        <v>0.5269223198350428</v>
      </c>
      <c r="R121" s="7">
        <v>2.0790965953181146</v>
      </c>
      <c r="S121" s="7">
        <v>0.0367620223140727</v>
      </c>
      <c r="T121" s="7">
        <v>0.8536958515156895</v>
      </c>
      <c r="U121" s="7">
        <v>-0.04493136060608898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ht="16.5" customHeight="1">
      <c r="A122" s="1" t="s">
        <v>8</v>
      </c>
      <c r="B122" s="7">
        <v>-1.0593234889578882</v>
      </c>
      <c r="C122" s="7">
        <v>-0.47887226213164796</v>
      </c>
      <c r="D122" s="7">
        <v>-1.7641571215326082</v>
      </c>
      <c r="E122" s="7">
        <v>0.3918045781077122</v>
      </c>
      <c r="F122" s="7">
        <v>0.018657360862272123</v>
      </c>
      <c r="G122" s="7">
        <v>1.2624814183470725</v>
      </c>
      <c r="H122" s="7">
        <v>1.0551774087662724</v>
      </c>
      <c r="I122" s="7">
        <v>0.8893342011016323</v>
      </c>
      <c r="J122" s="7">
        <v>-0.39595065829932796</v>
      </c>
      <c r="K122" s="7">
        <v>-0.561793865963968</v>
      </c>
      <c r="L122" s="7">
        <v>-1.1007842908740482</v>
      </c>
      <c r="M122" s="7">
        <v>-0.603254667880128</v>
      </c>
      <c r="N122" s="7">
        <v>-1.7641571215326082</v>
      </c>
      <c r="O122" s="7">
        <v>-0.8520194793770881</v>
      </c>
      <c r="P122" s="7">
        <v>0.8893342011016323</v>
      </c>
      <c r="Q122" s="7">
        <v>0.8893342011016323</v>
      </c>
      <c r="R122" s="7">
        <v>0.9722558049339524</v>
      </c>
      <c r="S122" s="7">
        <v>0.14303976661075216</v>
      </c>
      <c r="T122" s="7">
        <v>1.4283246260117124</v>
      </c>
      <c r="U122" s="7">
        <v>0.6405693896046722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ht="16.5" customHeight="1">
      <c r="A123" s="1" t="s">
        <v>9</v>
      </c>
      <c r="B123" s="7">
        <v>-0.6070055440151538</v>
      </c>
      <c r="C123" s="7">
        <v>-0.091970536971993</v>
      </c>
      <c r="D123" s="7">
        <v>-0.6070055440151538</v>
      </c>
      <c r="E123" s="7">
        <v>0.7909466179591398</v>
      </c>
      <c r="F123" s="7">
        <v>-0.6805819735927482</v>
      </c>
      <c r="G123" s="7">
        <v>0.4230644700711678</v>
      </c>
      <c r="H123" s="7">
        <v>1.3059816250023006</v>
      </c>
      <c r="I123" s="7">
        <v>0.5702173292263566</v>
      </c>
      <c r="J123" s="7">
        <v>1.5267109137350838</v>
      </c>
      <c r="K123" s="7">
        <v>-0.38627625528237064</v>
      </c>
      <c r="L123" s="7">
        <v>-0.9748876919031259</v>
      </c>
      <c r="M123" s="7">
        <v>-1.563499128523881</v>
      </c>
      <c r="N123" s="7">
        <v>1.379558054579895</v>
      </c>
      <c r="O123" s="7">
        <v>-1.1956169806359092</v>
      </c>
      <c r="P123" s="7">
        <v>-1.4163462693686923</v>
      </c>
      <c r="Q123" s="7">
        <v>1.894593061623056</v>
      </c>
      <c r="R123" s="7">
        <v>-0.2391233961271818</v>
      </c>
      <c r="S123" s="7">
        <v>0.2023351813383846</v>
      </c>
      <c r="T123" s="7">
        <v>-0.16554696654958742</v>
      </c>
      <c r="U123" s="7">
        <v>-0.16554696654958742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ht="16.5" customHeight="1">
      <c r="A124" s="1" t="s">
        <v>10</v>
      </c>
      <c r="B124" s="7">
        <v>-0.5393183418541143</v>
      </c>
      <c r="C124" s="7">
        <v>1.239876187973892</v>
      </c>
      <c r="D124" s="7">
        <v>0.2390792649456384</v>
      </c>
      <c r="E124" s="7">
        <v>0.9062772136311408</v>
      </c>
      <c r="F124" s="7">
        <v>-0.5393183418541143</v>
      </c>
      <c r="G124" s="7">
        <v>-0.9841169743111159</v>
      </c>
      <c r="H124" s="7">
        <v>-0.5393183418541143</v>
      </c>
      <c r="I124" s="7">
        <v>0.127879606831388</v>
      </c>
      <c r="J124" s="7">
        <v>1.7958744785451437</v>
      </c>
      <c r="K124" s="7">
        <v>0.6838778974026399</v>
      </c>
      <c r="L124" s="7">
        <v>-0.0945197093971128</v>
      </c>
      <c r="M124" s="7">
        <v>-0.7617176580826152</v>
      </c>
      <c r="N124" s="7">
        <v>0.3502789230598888</v>
      </c>
      <c r="O124" s="7">
        <v>-0.7617176580826152</v>
      </c>
      <c r="P124" s="7">
        <v>-0.8729173161968655</v>
      </c>
      <c r="Q124" s="7">
        <v>2.5742720853448966</v>
      </c>
      <c r="R124" s="7">
        <v>-0.8729173161968655</v>
      </c>
      <c r="S124" s="7">
        <v>-0.2057193675113632</v>
      </c>
      <c r="T124" s="7">
        <v>-0.7617176580826152</v>
      </c>
      <c r="U124" s="7">
        <v>-0.9841169743111159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ht="16.5" customHeight="1">
      <c r="A125" s="1" t="s">
        <v>11</v>
      </c>
      <c r="B125" s="7">
        <v>-0.8022662902530203</v>
      </c>
      <c r="C125" s="7">
        <v>-0.4757625674756284</v>
      </c>
      <c r="D125" s="7">
        <v>-0.1959022336664353</v>
      </c>
      <c r="E125" s="7">
        <v>-0.05597206676183875</v>
      </c>
      <c r="F125" s="7">
        <v>0.7836089346657406</v>
      </c>
      <c r="G125" s="7">
        <v>2.136267214743507</v>
      </c>
      <c r="H125" s="7">
        <v>1.250042824347729</v>
      </c>
      <c r="I125" s="7">
        <v>-0.05597206676183875</v>
      </c>
      <c r="J125" s="7">
        <v>1.2033994353795303</v>
      </c>
      <c r="K125" s="7">
        <v>0.31717504498375204</v>
      </c>
      <c r="L125" s="7">
        <v>-1.4086303468396053</v>
      </c>
      <c r="M125" s="7">
        <v>-1.7351340696169975</v>
      </c>
      <c r="N125" s="7">
        <v>0.22388826704735434</v>
      </c>
      <c r="O125" s="7">
        <v>-1.1287700130304124</v>
      </c>
      <c r="P125" s="7">
        <v>0.1772448780791555</v>
      </c>
      <c r="Q125" s="7">
        <v>-0.42911917850742953</v>
      </c>
      <c r="R125" s="7">
        <v>1.2966862133159278</v>
      </c>
      <c r="S125" s="7">
        <v>-0.6623361233484238</v>
      </c>
      <c r="T125" s="7">
        <v>0.5037486008565475</v>
      </c>
      <c r="U125" s="7">
        <v>-0.9421964571576169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ht="16.5" customHeight="1">
      <c r="A126" s="1" t="s">
        <v>12</v>
      </c>
      <c r="B126" s="7">
        <v>-1.8137677493409212</v>
      </c>
      <c r="C126" s="7">
        <v>-0.7723699985231673</v>
      </c>
      <c r="D126" s="7">
        <v>-1.336460446882784</v>
      </c>
      <c r="E126" s="7">
        <v>1.4839917949152994</v>
      </c>
      <c r="F126" s="7">
        <v>0.26902775229458653</v>
      </c>
      <c r="G126" s="7">
        <v>0.008678314590148072</v>
      </c>
      <c r="H126" s="7">
        <v>1.7877328055704778</v>
      </c>
      <c r="I126" s="7">
        <v>-0.9025447173753866</v>
      </c>
      <c r="J126" s="7">
        <v>0.6161603359005046</v>
      </c>
      <c r="K126" s="7">
        <v>-0.5988037067202083</v>
      </c>
      <c r="L126" s="7">
        <v>-1.0761110091783457</v>
      </c>
      <c r="M126" s="7">
        <v>0.26902775229458653</v>
      </c>
      <c r="N126" s="7">
        <v>-0.6421952796709481</v>
      </c>
      <c r="O126" s="7">
        <v>-0.5120205608187289</v>
      </c>
      <c r="P126" s="7">
        <v>0.09546146049162757</v>
      </c>
      <c r="Q126" s="7">
        <v>1.3104255031123404</v>
      </c>
      <c r="R126" s="7">
        <v>1.0934676383586417</v>
      </c>
      <c r="S126" s="7">
        <v>-0.5120205608187289</v>
      </c>
      <c r="T126" s="7">
        <v>1.0934676383586417</v>
      </c>
      <c r="U126" s="7">
        <v>0.13885303344236732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ht="16.5" customHeight="1">
      <c r="A127" s="1" t="s">
        <v>13</v>
      </c>
      <c r="B127" s="7">
        <v>2.063491109966733</v>
      </c>
      <c r="C127" s="7">
        <v>1.8338954370914358</v>
      </c>
      <c r="D127" s="7">
        <v>1.6616986824349627</v>
      </c>
      <c r="E127" s="7">
        <v>0.7433159909337727</v>
      </c>
      <c r="F127" s="7">
        <v>0.5711192362772995</v>
      </c>
      <c r="G127" s="7">
        <v>0.45632139983965403</v>
      </c>
      <c r="H127" s="7">
        <v>0.3415235634020053</v>
      </c>
      <c r="I127" s="7">
        <v>0.2841246451831809</v>
      </c>
      <c r="J127" s="7">
        <v>0.05452897230788347</v>
      </c>
      <c r="K127" s="7">
        <v>-0.11766778234858964</v>
      </c>
      <c r="L127" s="7">
        <v>-0.11766778234858964</v>
      </c>
      <c r="M127" s="7">
        <v>-0.4046623734427115</v>
      </c>
      <c r="N127" s="7">
        <v>-0.5768591280991846</v>
      </c>
      <c r="O127" s="7">
        <v>-0.7490558827556577</v>
      </c>
      <c r="P127" s="7">
        <v>-0.8064548009744821</v>
      </c>
      <c r="Q127" s="7">
        <v>-0.8064548009744821</v>
      </c>
      <c r="R127" s="7">
        <v>-1.0360504738497796</v>
      </c>
      <c r="S127" s="7">
        <v>-1.0360504738497796</v>
      </c>
      <c r="T127" s="7">
        <v>-1.093449392068604</v>
      </c>
      <c r="U127" s="7">
        <v>-1.265646146725077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ht="16.5" customHeight="1">
      <c r="A128" s="1" t="s">
        <v>14</v>
      </c>
      <c r="B128" s="7">
        <v>0.6200183040112588</v>
      </c>
      <c r="C128" s="7">
        <v>0.7613330171762182</v>
      </c>
      <c r="D128" s="7">
        <v>1.3619205481272951</v>
      </c>
      <c r="E128" s="7">
        <v>0.4433749125550596</v>
      </c>
      <c r="F128" s="7">
        <v>0.7966616954674579</v>
      </c>
      <c r="G128" s="7">
        <v>1.6798786527484537</v>
      </c>
      <c r="H128" s="7">
        <v>0.9379764086324173</v>
      </c>
      <c r="I128" s="7">
        <v>0.4080462342638198</v>
      </c>
      <c r="J128" s="7">
        <v>0.6200183040112588</v>
      </c>
      <c r="K128" s="7">
        <v>0.01943077306018367</v>
      </c>
      <c r="L128" s="7">
        <v>-1.1110869322594907</v>
      </c>
      <c r="M128" s="7">
        <v>-1.6410171066280883</v>
      </c>
      <c r="N128" s="7">
        <v>-0.26319865326973496</v>
      </c>
      <c r="O128" s="7">
        <v>-1.1464156105507306</v>
      </c>
      <c r="P128" s="7">
        <v>-0.40451336643469427</v>
      </c>
      <c r="Q128" s="7">
        <v>-1.075758253968251</v>
      </c>
      <c r="R128" s="7">
        <v>0.8673190520499375</v>
      </c>
      <c r="S128" s="7">
        <v>-1.0404295756770112</v>
      </c>
      <c r="T128" s="7">
        <v>-0.22786997497849512</v>
      </c>
      <c r="U128" s="7">
        <v>-1.6056884283368484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ht="16.5" customHeight="1">
      <c r="A129" s="1" t="s">
        <v>15</v>
      </c>
      <c r="B129" s="7">
        <v>-0.7036161104362382</v>
      </c>
      <c r="C129" s="7">
        <v>0.7535770176861494</v>
      </c>
      <c r="D129" s="7">
        <v>-0.7730062593944472</v>
      </c>
      <c r="E129" s="7">
        <v>0.7813330772694329</v>
      </c>
      <c r="F129" s="7">
        <v>-0.6758600508529546</v>
      </c>
      <c r="G129" s="7">
        <v>0.6703088389362986</v>
      </c>
      <c r="H129" s="7">
        <v>1.0450156433106272</v>
      </c>
      <c r="I129" s="7">
        <v>1.8499413712258517</v>
      </c>
      <c r="J129" s="7">
        <v>-0.1901290081454916</v>
      </c>
      <c r="K129" s="7">
        <v>-1.3697615404350438</v>
      </c>
      <c r="L129" s="7">
        <v>-0.9534206466857899</v>
      </c>
      <c r="M129" s="7">
        <v>-0.71749414022788</v>
      </c>
      <c r="N129" s="7">
        <v>-1.5362978979347455</v>
      </c>
      <c r="O129" s="7">
        <v>-0.3427873358535514</v>
      </c>
      <c r="P129" s="7">
        <v>0.07355355789570263</v>
      </c>
      <c r="Q129" s="7">
        <v>0.17069976643719523</v>
      </c>
      <c r="R129" s="7">
        <v>2.169136056433613</v>
      </c>
      <c r="S129" s="7">
        <v>-0.2040070379371334</v>
      </c>
      <c r="T129" s="7">
        <v>0.5731626303948059</v>
      </c>
      <c r="U129" s="7">
        <v>-0.6203479316863875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ht="16.5" customHeight="1">
      <c r="A130" s="1" t="s">
        <v>16</v>
      </c>
      <c r="B130" s="7">
        <v>-0.3837424139236518</v>
      </c>
      <c r="C130" s="7">
        <v>0.8704681743125676</v>
      </c>
      <c r="D130" s="7">
        <v>-0.1996381073935644</v>
      </c>
      <c r="E130" s="7">
        <v>0.8014290593637848</v>
      </c>
      <c r="F130" s="7">
        <v>-0.3031967798167386</v>
      </c>
      <c r="G130" s="7">
        <v>1.1005985574751769</v>
      </c>
      <c r="H130" s="7">
        <v>1.1696376724239597</v>
      </c>
      <c r="I130" s="7">
        <v>1.6529114770654392</v>
      </c>
      <c r="J130" s="7">
        <v>0.04199879492717537</v>
      </c>
      <c r="K130" s="7">
        <v>-1.131666159202132</v>
      </c>
      <c r="L130" s="7">
        <v>-1.1431726783602625</v>
      </c>
      <c r="M130" s="7">
        <v>-1.131666159202132</v>
      </c>
      <c r="N130" s="7">
        <v>-1.36179654236474</v>
      </c>
      <c r="O130" s="7">
        <v>-0.6483923545606526</v>
      </c>
      <c r="P130" s="7">
        <v>-0.06155987749599882</v>
      </c>
      <c r="Q130" s="7">
        <v>-0.1996381073935644</v>
      </c>
      <c r="R130" s="7">
        <v>2.078652685916265</v>
      </c>
      <c r="S130" s="7">
        <v>-0.510314124663087</v>
      </c>
      <c r="T130" s="7">
        <v>0.3987008888292185</v>
      </c>
      <c r="U130" s="7">
        <v>-1.0396140059370884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ht="16.5" customHeight="1">
      <c r="A132" s="3" t="s">
        <v>63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5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ht="16.5" customHeight="1">
      <c r="A133" s="1"/>
      <c r="B133" s="1" t="s">
        <v>4</v>
      </c>
      <c r="C133" s="1" t="s">
        <v>5</v>
      </c>
      <c r="D133" s="1" t="s">
        <v>6</v>
      </c>
      <c r="E133" s="1" t="s">
        <v>7</v>
      </c>
      <c r="F133" s="1" t="s">
        <v>8</v>
      </c>
      <c r="G133" s="1" t="s">
        <v>9</v>
      </c>
      <c r="H133" s="1" t="s">
        <v>10</v>
      </c>
      <c r="I133" s="1" t="s">
        <v>11</v>
      </c>
      <c r="J133" s="1" t="s">
        <v>12</v>
      </c>
      <c r="K133" s="1" t="s">
        <v>13</v>
      </c>
      <c r="L133" s="1" t="s">
        <v>14</v>
      </c>
      <c r="M133" s="1" t="s">
        <v>15</v>
      </c>
      <c r="N133" s="1" t="s">
        <v>16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ht="16.5" customHeight="1">
      <c r="A134" s="1" t="s">
        <v>4</v>
      </c>
      <c r="B134" s="7">
        <f t="array" ref="B134:N146">MMULT(B118:U130,B28:N47)/19</f>
        <v>1</v>
      </c>
      <c r="C134" s="7">
        <v>0.4145996413000752</v>
      </c>
      <c r="D134" s="7">
        <v>0.3483298796062857</v>
      </c>
      <c r="E134" s="7">
        <v>-0.10472789823598273</v>
      </c>
      <c r="F134" s="7">
        <v>0.11374453841943369</v>
      </c>
      <c r="G134" s="7">
        <v>0.5534862251145224</v>
      </c>
      <c r="H134" s="7">
        <v>0.4260475380062502</v>
      </c>
      <c r="I134" s="7">
        <v>0.40127184231983476</v>
      </c>
      <c r="J134" s="7">
        <v>0.2267043191058268</v>
      </c>
      <c r="K134" s="7">
        <v>0.20829005632815167</v>
      </c>
      <c r="L134" s="7">
        <v>0.24288212019075459</v>
      </c>
      <c r="M134" s="7">
        <v>-0.17074015421274136</v>
      </c>
      <c r="N134" s="7">
        <v>-0.06211573274555106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ht="16.5" customHeight="1">
      <c r="A135" s="1" t="s">
        <v>5</v>
      </c>
      <c r="B135" s="7">
        <v>0.4145996413000752</v>
      </c>
      <c r="C135" s="7">
        <v>1.0000000000000002</v>
      </c>
      <c r="D135" s="7">
        <v>0.015554516263210834</v>
      </c>
      <c r="E135" s="7">
        <v>-0.07584434789342141</v>
      </c>
      <c r="F135" s="7">
        <v>0.0701418901838919</v>
      </c>
      <c r="G135" s="7">
        <v>0.4557044403605499</v>
      </c>
      <c r="H135" s="7">
        <v>0.27756670850334286</v>
      </c>
      <c r="I135" s="7">
        <v>0.1203700039894103</v>
      </c>
      <c r="J135" s="7">
        <v>0.1166783865941925</v>
      </c>
      <c r="K135" s="7">
        <v>0.3997853071215879</v>
      </c>
      <c r="L135" s="7">
        <v>0.2696466971177131</v>
      </c>
      <c r="M135" s="7">
        <v>0.15125075409526034</v>
      </c>
      <c r="N135" s="7">
        <v>0.21193144438907843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ht="16.5" customHeight="1">
      <c r="A136" s="1" t="s">
        <v>6</v>
      </c>
      <c r="B136" s="7">
        <v>0.3483298796062857</v>
      </c>
      <c r="C136" s="7">
        <v>0.015554516263210834</v>
      </c>
      <c r="D136" s="7">
        <v>0.9999999999999998</v>
      </c>
      <c r="E136" s="7">
        <v>-0.37107198371991573</v>
      </c>
      <c r="F136" s="7">
        <v>-0.34801240256747934</v>
      </c>
      <c r="G136" s="7">
        <v>0.634213103425577</v>
      </c>
      <c r="H136" s="7">
        <v>0.6676922483399127</v>
      </c>
      <c r="I136" s="7">
        <v>0.09595558379958814</v>
      </c>
      <c r="J136" s="7">
        <v>-0.025218615182191678</v>
      </c>
      <c r="K136" s="7">
        <v>0.012642191927509757</v>
      </c>
      <c r="L136" s="7">
        <v>0.01869930133110066</v>
      </c>
      <c r="M136" s="7">
        <v>-0.34448987025227434</v>
      </c>
      <c r="N136" s="7">
        <v>-0.2784177055502404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ht="16.5" customHeight="1">
      <c r="A137" s="1" t="s">
        <v>7</v>
      </c>
      <c r="B137" s="7">
        <v>-0.10472789823598273</v>
      </c>
      <c r="C137" s="7">
        <v>-0.07584434789342141</v>
      </c>
      <c r="D137" s="7">
        <v>-0.37107198371991573</v>
      </c>
      <c r="E137" s="7">
        <v>0.9999999999999998</v>
      </c>
      <c r="F137" s="7">
        <v>0.8742124977825201</v>
      </c>
      <c r="G137" s="7">
        <v>0.20950478942530984</v>
      </c>
      <c r="H137" s="7">
        <v>-0.14790636095903392</v>
      </c>
      <c r="I137" s="7">
        <v>0.4323463975191631</v>
      </c>
      <c r="J137" s="7">
        <v>0.6326916120507187</v>
      </c>
      <c r="K137" s="7">
        <v>-0.3708223654201886</v>
      </c>
      <c r="L137" s="7">
        <v>0.13717420963325383</v>
      </c>
      <c r="M137" s="7">
        <v>0.9019404537039178</v>
      </c>
      <c r="N137" s="7">
        <v>0.7921360359377309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ht="16.5" customHeight="1">
      <c r="A138" s="1" t="s">
        <v>8</v>
      </c>
      <c r="B138" s="7">
        <v>0.11374453841943369</v>
      </c>
      <c r="C138" s="7">
        <v>0.0701418901838919</v>
      </c>
      <c r="D138" s="7">
        <v>-0.34801240256747934</v>
      </c>
      <c r="E138" s="7">
        <v>0.8742124977825201</v>
      </c>
      <c r="F138" s="7">
        <v>0.9999999999999998</v>
      </c>
      <c r="G138" s="7">
        <v>0.24039040419727717</v>
      </c>
      <c r="H138" s="7">
        <v>-0.1779503494286516</v>
      </c>
      <c r="I138" s="7">
        <v>0.47103022523676985</v>
      </c>
      <c r="J138" s="7">
        <v>0.679207433398085</v>
      </c>
      <c r="K138" s="7">
        <v>-0.38910440932546725</v>
      </c>
      <c r="L138" s="7">
        <v>0.08734952787338486</v>
      </c>
      <c r="M138" s="7">
        <v>0.7201906915297985</v>
      </c>
      <c r="N138" s="7">
        <v>0.6251656978548061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ht="16.5" customHeight="1">
      <c r="A139" s="1" t="s">
        <v>9</v>
      </c>
      <c r="B139" s="7">
        <v>0.5534862251145224</v>
      </c>
      <c r="C139" s="7">
        <v>0.4557044403605499</v>
      </c>
      <c r="D139" s="7">
        <v>0.634213103425577</v>
      </c>
      <c r="E139" s="7">
        <v>0.20950478942530984</v>
      </c>
      <c r="F139" s="7">
        <v>0.24039040419727717</v>
      </c>
      <c r="G139" s="7">
        <v>1.0</v>
      </c>
      <c r="H139" s="7">
        <v>0.6225607851062124</v>
      </c>
      <c r="I139" s="7">
        <v>0.4526434833336652</v>
      </c>
      <c r="J139" s="7">
        <v>0.42646374816388355</v>
      </c>
      <c r="K139" s="7">
        <v>-0.021616153994174006</v>
      </c>
      <c r="L139" s="7">
        <v>0.24840970038526597</v>
      </c>
      <c r="M139" s="7">
        <v>0.25556955079691307</v>
      </c>
      <c r="N139" s="7">
        <v>0.29191287199794724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ht="16.5" customHeight="1">
      <c r="A140" s="1" t="s">
        <v>10</v>
      </c>
      <c r="B140" s="7">
        <v>0.4260475380062502</v>
      </c>
      <c r="C140" s="7">
        <v>0.27756670850334286</v>
      </c>
      <c r="D140" s="7">
        <v>0.6676922483399127</v>
      </c>
      <c r="E140" s="7">
        <v>-0.14790636095903392</v>
      </c>
      <c r="F140" s="7">
        <v>-0.1779503494286516</v>
      </c>
      <c r="G140" s="7">
        <v>0.6225607851062124</v>
      </c>
      <c r="H140" s="7">
        <v>0.9999999999999998</v>
      </c>
      <c r="I140" s="7">
        <v>-0.02112909565090825</v>
      </c>
      <c r="J140" s="7">
        <v>0.10752416988791114</v>
      </c>
      <c r="K140" s="7">
        <v>0.2029543379251159</v>
      </c>
      <c r="L140" s="7">
        <v>0.04514716013218742</v>
      </c>
      <c r="M140" s="7">
        <v>-0.05294910791599535</v>
      </c>
      <c r="N140" s="7">
        <v>-0.02821343797214527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ht="16.5" customHeight="1">
      <c r="A141" s="1" t="s">
        <v>11</v>
      </c>
      <c r="B141" s="7">
        <v>0.40127184231983476</v>
      </c>
      <c r="C141" s="7">
        <v>0.1203700039894103</v>
      </c>
      <c r="D141" s="7">
        <v>0.09595558379958814</v>
      </c>
      <c r="E141" s="7">
        <v>0.4323463975191631</v>
      </c>
      <c r="F141" s="7">
        <v>0.47103022523676985</v>
      </c>
      <c r="G141" s="7">
        <v>0.4526434833336652</v>
      </c>
      <c r="H141" s="7">
        <v>-0.02112909565090825</v>
      </c>
      <c r="I141" s="7">
        <v>1.0</v>
      </c>
      <c r="J141" s="7">
        <v>0.43064969815678333</v>
      </c>
      <c r="K141" s="7">
        <v>0.0388628338412919</v>
      </c>
      <c r="L141" s="7">
        <v>0.7480541914771633</v>
      </c>
      <c r="M141" s="7">
        <v>0.4288041111631915</v>
      </c>
      <c r="N141" s="7">
        <v>0.5974804319057556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ht="16.5" customHeight="1">
      <c r="A142" s="1" t="s">
        <v>12</v>
      </c>
      <c r="B142" s="7">
        <v>0.2267043191058268</v>
      </c>
      <c r="C142" s="7">
        <v>0.1166783865941925</v>
      </c>
      <c r="D142" s="7">
        <v>-0.025218615182191678</v>
      </c>
      <c r="E142" s="7">
        <v>0.6326916120507187</v>
      </c>
      <c r="F142" s="7">
        <v>0.679207433398085</v>
      </c>
      <c r="G142" s="7">
        <v>0.42646374816388355</v>
      </c>
      <c r="H142" s="7">
        <v>0.10752416988791114</v>
      </c>
      <c r="I142" s="7">
        <v>0.43064969815678333</v>
      </c>
      <c r="J142" s="7">
        <v>1.0000000000000004</v>
      </c>
      <c r="K142" s="7">
        <v>-0.4208901425233536</v>
      </c>
      <c r="L142" s="7">
        <v>0.005470271435052981</v>
      </c>
      <c r="M142" s="7">
        <v>0.4660566725745082</v>
      </c>
      <c r="N142" s="7">
        <v>0.3895323989677082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ht="16.5" customHeight="1">
      <c r="A143" s="1" t="s">
        <v>13</v>
      </c>
      <c r="B143" s="7">
        <v>0.20829005632815167</v>
      </c>
      <c r="C143" s="7">
        <v>0.3997853071215879</v>
      </c>
      <c r="D143" s="7">
        <v>0.012642191927509757</v>
      </c>
      <c r="E143" s="7">
        <v>-0.3708223654201886</v>
      </c>
      <c r="F143" s="7">
        <v>-0.38910440932546725</v>
      </c>
      <c r="G143" s="7">
        <v>-0.021616153994174006</v>
      </c>
      <c r="H143" s="7">
        <v>0.2029543379251159</v>
      </c>
      <c r="I143" s="7">
        <v>0.0388628338412919</v>
      </c>
      <c r="J143" s="7">
        <v>-0.4208901425233536</v>
      </c>
      <c r="K143" s="7">
        <v>0.9999999999999989</v>
      </c>
      <c r="L143" s="7">
        <v>0.6535529281648518</v>
      </c>
      <c r="M143" s="7">
        <v>-0.018392702928175443</v>
      </c>
      <c r="N143" s="7">
        <v>0.19638830199908644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ht="16.5" customHeight="1">
      <c r="A144" s="1" t="s">
        <v>14</v>
      </c>
      <c r="B144" s="7">
        <v>0.24288212019075459</v>
      </c>
      <c r="C144" s="7">
        <v>0.2696466971177131</v>
      </c>
      <c r="D144" s="7">
        <v>0.01869930133110066</v>
      </c>
      <c r="E144" s="7">
        <v>0.13717420963325383</v>
      </c>
      <c r="F144" s="7">
        <v>0.08734952787338486</v>
      </c>
      <c r="G144" s="7">
        <v>0.24840970038526597</v>
      </c>
      <c r="H144" s="7">
        <v>0.04514716013218742</v>
      </c>
      <c r="I144" s="7">
        <v>0.7480541914771633</v>
      </c>
      <c r="J144" s="7">
        <v>0.005470271435052981</v>
      </c>
      <c r="K144" s="7">
        <v>0.6535529281648518</v>
      </c>
      <c r="L144" s="7">
        <v>1.0000000000000002</v>
      </c>
      <c r="M144" s="7">
        <v>0.3888973907147342</v>
      </c>
      <c r="N144" s="7">
        <v>0.6458985706651967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ht="16.5" customHeight="1">
      <c r="A145" s="1" t="s">
        <v>15</v>
      </c>
      <c r="B145" s="7">
        <v>-0.17074015421274136</v>
      </c>
      <c r="C145" s="7">
        <v>0.15125075409526034</v>
      </c>
      <c r="D145" s="7">
        <v>-0.34448987025227434</v>
      </c>
      <c r="E145" s="7">
        <v>0.9019404537039178</v>
      </c>
      <c r="F145" s="7">
        <v>0.7201906915297985</v>
      </c>
      <c r="G145" s="7">
        <v>0.25556955079691307</v>
      </c>
      <c r="H145" s="7">
        <v>-0.05294910791599535</v>
      </c>
      <c r="I145" s="7">
        <v>0.4288041111631915</v>
      </c>
      <c r="J145" s="7">
        <v>0.4660566725745082</v>
      </c>
      <c r="K145" s="7">
        <v>-0.018392702928175443</v>
      </c>
      <c r="L145" s="7">
        <v>0.3888973907147342</v>
      </c>
      <c r="M145" s="7">
        <v>0.9999999999999997</v>
      </c>
      <c r="N145" s="7">
        <v>0.9544969378588481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ht="16.5" customHeight="1">
      <c r="A146" s="1" t="s">
        <v>16</v>
      </c>
      <c r="B146" s="7">
        <v>-0.06211573274555106</v>
      </c>
      <c r="C146" s="7">
        <v>0.21193144438907843</v>
      </c>
      <c r="D146" s="7">
        <v>-0.2784177055502404</v>
      </c>
      <c r="E146" s="7">
        <v>0.7921360359377309</v>
      </c>
      <c r="F146" s="7">
        <v>0.6251656978548061</v>
      </c>
      <c r="G146" s="7">
        <v>0.29191287199794724</v>
      </c>
      <c r="H146" s="7">
        <v>-0.02821343797214527</v>
      </c>
      <c r="I146" s="7">
        <v>0.5974804319057556</v>
      </c>
      <c r="J146" s="7">
        <v>0.3895323989677082</v>
      </c>
      <c r="K146" s="7">
        <v>0.19638830199908644</v>
      </c>
      <c r="L146" s="7">
        <v>0.6458985706651967</v>
      </c>
      <c r="M146" s="7">
        <v>0.9544969378588481</v>
      </c>
      <c r="N146" s="7">
        <v>1.0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  <row r="850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</row>
    <row r="851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</row>
    <row r="852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</row>
    <row r="853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</row>
    <row r="854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</row>
    <row r="855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</row>
    <row r="85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</row>
    <row r="857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</row>
    <row r="858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</row>
    <row r="859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</row>
    <row r="860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</row>
    <row r="861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</row>
    <row r="862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</row>
    <row r="863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</row>
    <row r="864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</row>
    <row r="865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</row>
    <row r="86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</row>
    <row r="867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</row>
    <row r="868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</row>
    <row r="869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</row>
    <row r="870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</row>
    <row r="871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</row>
    <row r="872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</row>
    <row r="873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</row>
    <row r="874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</row>
    <row r="875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</row>
    <row r="87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</row>
    <row r="877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</row>
    <row r="878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</row>
    <row r="879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</row>
    <row r="880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</row>
    <row r="881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</row>
    <row r="882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</row>
    <row r="883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</row>
    <row r="884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</row>
    <row r="885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</row>
    <row r="88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</row>
    <row r="887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</row>
    <row r="888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</row>
    <row r="889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</row>
    <row r="890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</row>
    <row r="891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</row>
    <row r="892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</row>
    <row r="893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</row>
    <row r="894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</row>
    <row r="895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</row>
    <row r="89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</row>
    <row r="897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</row>
    <row r="898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</row>
    <row r="899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</row>
    <row r="900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</row>
    <row r="901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</row>
    <row r="902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</row>
    <row r="903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</row>
    <row r="904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</row>
    <row r="905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</row>
    <row r="90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</row>
    <row r="907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</row>
    <row r="908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</row>
    <row r="909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</row>
    <row r="910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</row>
    <row r="911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</row>
    <row r="912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</row>
    <row r="913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</row>
    <row r="914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</row>
    <row r="915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</row>
    <row r="91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</row>
    <row r="917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</row>
    <row r="918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</row>
    <row r="919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</row>
    <row r="920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</row>
    <row r="921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</row>
    <row r="922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</row>
    <row r="923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</row>
    <row r="924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</row>
    <row r="925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</row>
    <row r="9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</row>
    <row r="927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</row>
    <row r="928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</row>
    <row r="929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</row>
    <row r="930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</row>
    <row r="931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</row>
    <row r="932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</row>
    <row r="933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</row>
    <row r="934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</row>
    <row r="935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</row>
    <row r="93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</row>
    <row r="937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</row>
    <row r="938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</row>
    <row r="939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</row>
    <row r="940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</row>
    <row r="941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</row>
    <row r="942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</row>
    <row r="943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</row>
    <row r="944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</row>
    <row r="945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</row>
    <row r="94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</row>
    <row r="947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</row>
    <row r="948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</row>
    <row r="949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</row>
    <row r="950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</row>
    <row r="951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</row>
    <row r="952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</row>
    <row r="953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</row>
    <row r="954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</row>
    <row r="955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</row>
    <row r="95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</row>
    <row r="957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</row>
    <row r="958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</row>
    <row r="959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</row>
    <row r="960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</row>
    <row r="961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</row>
    <row r="962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</row>
    <row r="963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</row>
    <row r="964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</row>
    <row r="965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</row>
    <row r="96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</row>
    <row r="967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</row>
    <row r="968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</row>
    <row r="969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</row>
    <row r="970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</row>
    <row r="971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</row>
    <row r="972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</row>
    <row r="973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</row>
    <row r="974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</row>
    <row r="975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</row>
    <row r="97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</row>
    <row r="977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</row>
    <row r="978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</row>
    <row r="979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</row>
    <row r="980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</row>
    <row r="981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</row>
    <row r="982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</row>
    <row r="983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</row>
    <row r="984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</row>
    <row r="985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</row>
    <row r="98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</row>
    <row r="987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</row>
    <row r="988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</row>
    <row r="989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</row>
    <row r="990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</row>
    <row r="991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</row>
    <row r="992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</row>
    <row r="993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</row>
    <row r="994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</row>
    <row r="995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</row>
    <row r="99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</row>
    <row r="997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</row>
    <row r="998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</row>
    <row r="999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</row>
    <row r="1000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</row>
  </sheetData>
  <mergeCells count="9">
    <mergeCell ref="P26:AC26"/>
    <mergeCell ref="P32:AC32"/>
    <mergeCell ref="A26:N26"/>
    <mergeCell ref="A132:N132"/>
    <mergeCell ref="A116:U116"/>
    <mergeCell ref="A93:N93"/>
    <mergeCell ref="P51:AC51"/>
    <mergeCell ref="A51:N51"/>
    <mergeCell ref="P76:AC76"/>
  </mergeCells>
  <conditionalFormatting sqref="Q78:AC90">
    <cfRule type="cellIs" dxfId="0" priority="1" operator="lessThanOrEqual">
      <formula>-0.5</formula>
    </cfRule>
  </conditionalFormatting>
  <conditionalFormatting sqref="Q78:AC90">
    <cfRule type="cellIs" dxfId="1" priority="2" operator="greaterThanOrEqual">
      <formula>0.5</formula>
    </cfRule>
  </conditionalFormatting>
  <conditionalFormatting sqref="B1:B1000">
    <cfRule type="notContainsBlanks" dxfId="2" priority="3">
      <formula>LEN(TRIM(B1))&gt;0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7" width="6.0"/>
    <col customWidth="1" min="8" max="8" width="6.38"/>
    <col customWidth="1" min="9" max="10" width="6.0"/>
    <col customWidth="1" min="11" max="11" width="6.38"/>
    <col customWidth="1" min="12" max="12" width="10.88"/>
    <col customWidth="1" min="13" max="14" width="6.0"/>
    <col customWidth="1" min="15" max="21" width="4.5"/>
    <col customWidth="1" min="22" max="22" width="8.0"/>
    <col customWidth="1" min="23" max="24" width="6.0"/>
    <col customWidth="1" min="25" max="26" width="4.5"/>
  </cols>
  <sheetData>
    <row r="1" ht="16.5" customHeight="1">
      <c r="A1" s="1" t="s">
        <v>0</v>
      </c>
      <c r="B1" s="1" t="s">
        <v>2</v>
      </c>
      <c r="C1" s="1" t="s">
        <v>3</v>
      </c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6.5" customHeight="1">
      <c r="A2" s="1">
        <v>0.9999999999999999</v>
      </c>
      <c r="B2" s="1">
        <v>-0.9323376190948752</v>
      </c>
      <c r="C2" s="1">
        <v>0.4047108758441242</v>
      </c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6.5" customHeight="1">
      <c r="A3" s="1">
        <v>-0.9323376190948752</v>
      </c>
      <c r="B3" s="1">
        <v>1.0000000000000002</v>
      </c>
      <c r="C3" s="1">
        <v>-0.5388954623417733</v>
      </c>
      <c r="D3" s="1"/>
      <c r="E3" s="1"/>
      <c r="F3" s="1"/>
      <c r="G3" s="1"/>
      <c r="H3" s="1"/>
      <c r="I3" s="1"/>
      <c r="J3" s="1"/>
      <c r="K3" s="1"/>
      <c r="L3" s="2"/>
      <c r="M3" s="2"/>
      <c r="N3" s="2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6.5" customHeight="1">
      <c r="A4" s="1">
        <v>0.4047108758441242</v>
      </c>
      <c r="B4" s="1">
        <v>-0.5388954623417733</v>
      </c>
      <c r="C4" s="1">
        <v>1.0000000000000002</v>
      </c>
      <c r="D4" s="1"/>
      <c r="E4" s="1"/>
      <c r="F4" s="1"/>
      <c r="G4" s="1"/>
      <c r="H4" s="1"/>
      <c r="I4" s="1"/>
      <c r="J4" s="1"/>
      <c r="K4" s="1"/>
      <c r="L4" s="2"/>
      <c r="M4" s="2"/>
      <c r="N4" s="2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6.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"/>
      <c r="M5" s="2"/>
      <c r="N5" s="2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6.5" customHeight="1">
      <c r="A6" s="1"/>
      <c r="B6" s="1" t="s">
        <v>19</v>
      </c>
      <c r="C6" s="1" t="s">
        <v>20</v>
      </c>
      <c r="D6" s="1" t="s">
        <v>21</v>
      </c>
      <c r="E6" s="1"/>
      <c r="F6" s="1"/>
      <c r="G6" s="1"/>
      <c r="H6" s="1"/>
      <c r="I6" s="1"/>
      <c r="J6" s="1"/>
      <c r="K6" s="1"/>
      <c r="L6" s="2"/>
      <c r="M6" s="2"/>
      <c r="N6" s="2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6.5" customHeight="1">
      <c r="A7" s="1" t="s">
        <v>22</v>
      </c>
      <c r="B7" s="1">
        <v>2.2809865548276655</v>
      </c>
      <c r="C7" s="1">
        <v>0.6640682649739662</v>
      </c>
      <c r="D7" s="1">
        <v>0.05494518019836898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6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6.5" customHeight="1">
      <c r="A9" s="1" t="s">
        <v>23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6.5" customHeight="1">
      <c r="A10" s="1"/>
      <c r="B10" s="1" t="s">
        <v>19</v>
      </c>
      <c r="C10" s="1" t="s">
        <v>20</v>
      </c>
      <c r="D10" s="1" t="s">
        <v>21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6.5" customHeight="1">
      <c r="A11" s="1" t="s">
        <v>0</v>
      </c>
      <c r="B11" s="1">
        <v>-0.6125472201243946</v>
      </c>
      <c r="C11" s="1">
        <v>-0.42459393548240426</v>
      </c>
      <c r="D11" s="1">
        <v>0.6667127515425519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6.5" customHeight="1">
      <c r="A12" s="1" t="s">
        <v>2</v>
      </c>
      <c r="B12" s="1">
        <v>0.6406185919881288</v>
      </c>
      <c r="C12" s="1">
        <v>0.22742392684738075</v>
      </c>
      <c r="D12" s="1">
        <v>0.7334072382356646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6.5" customHeight="1">
      <c r="A13" s="1" t="s">
        <v>3</v>
      </c>
      <c r="B13" s="1">
        <v>-0.46302669762879134</v>
      </c>
      <c r="C13" s="1">
        <v>0.8763551491540864</v>
      </c>
      <c r="D13" s="1">
        <v>0.1326948749352994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6.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6.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6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6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6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6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6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6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6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6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6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6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6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6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6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6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6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6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6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6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6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6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6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6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6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6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6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2017-12-14T10:12:00Z</dcterms:created>
  <dc:creator>mingk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94384b61-fbdd-41b0-84d0-5b29db546db7</vt:lpwstr>
  </property>
</Properties>
</file>